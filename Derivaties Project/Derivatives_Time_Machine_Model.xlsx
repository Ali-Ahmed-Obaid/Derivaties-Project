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threadedcomments/threadedcomment.xml" ContentType="application/vnd.ms-excel.threadedcomments+xml"/>
  <Override PartName="/xl/worksheets/sheet3.xml" ContentType="application/vnd.openxmlformats-officedocument.spreadsheetml.worksheet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22f1b9cfdc6407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a407c24654e64f22"/>
    <x:sheet xmlns:r="http://schemas.openxmlformats.org/officeDocument/2006/relationships" name="Assumptions" sheetId="2" r:id="R6e746b1865654832"/>
    <x:sheet xmlns:r="http://schemas.openxmlformats.org/officeDocument/2006/relationships" name="Market Data" sheetId="3" r:id="Rb6478c437a8c4959"/>
    <x:sheet xmlns:r="http://schemas.openxmlformats.org/officeDocument/2006/relationships" name="Audit Inputs" sheetId="4" r:id="Rde0926fe397e44f9"/>
    <x:sheet xmlns:r="http://schemas.openxmlformats.org/officeDocument/2006/relationships" name="Audit Model" sheetId="5" r:id="R5c938bab13b34d00"/>
    <x:sheet xmlns:r="http://schemas.openxmlformats.org/officeDocument/2006/relationships" name="Current Ticket" sheetId="6" r:id="Re5a21a1a9a4f4230"/>
    <x:sheet xmlns:r="http://schemas.openxmlformats.org/officeDocument/2006/relationships" name="Checks" sheetId="7" r:id="Rf004d469a4894b69"/>
    <x:sheet xmlns:r="http://schemas.openxmlformats.org/officeDocument/2006/relationships" name="Sources" sheetId="8" r:id="Rc308bb0f19344e90"/>
  </x:sheets>
</x:workbook>
</file>

<file path=xl/comments1.xml><?xml version="1.0" encoding="utf-8"?>
<x:comments xmlns:x="http://schemas.openxmlformats.org/spreadsheetml/2006/main">
  <x:authors>
    <x:author>tc={E3FF16C1-D4C1-EABE-E245-13FA768026BD}</x:author>
  </x:authors>
  <x:commentList>
    <x:comment ref="B8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Estimated only with monthly observations available through 2023-07-31; frozen for the audit.</x:t>
        </x:r>
      </x:text>
    </x:comment>
  </x:commentList>
</x:comments>
</file>

<file path=xl/comments2.xml><?xml version="1.0" encoding="utf-8"?>
<x:comments xmlns:x="http://schemas.openxmlformats.org/spreadsheetml/2006/main">
  <x:authors>
    <x:author>tc={74CADE12-4F5D-0DEA-6643-B646526D8EFC}</x:author>
    <x:author>tc={08BDA587-36FF-3E4D-73F8-34284E3ECD01}</x:author>
    <x:author>tc={2F8AF218-18CA-B7D0-B022-1FFB25E378C7}</x:author>
    <x:author>tc={1225AE60-3A1F-AF91-AC4B-7F6A2419D2C7}</x:author>
  </x:authors>
  <x:commentList>
    <x:comment ref="C5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https://www.eia.gov/dnav/pet/hist/RBRTED.htm</x:t>
        </x:r>
      </x:text>
    </x:comment>
    <x:comment ref="D5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https://www.eia.gov/dnav/pet/hist/EER_EPJK_PF4_RGC_DPGD.htm</x:t>
        </x:r>
      </x:text>
    </x:comment>
    <x:comment ref="E5" authorId="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https://www.cboe.com/tradable_products/vix/vix_historical_data/</x:t>
        </x:r>
      </x:text>
    </x:comment>
    <x:comment ref="F5" authorId="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https://fred.stlouisfed.org/series/DGS1MO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0">
    <x:numFmt numFmtId="200" formatCode="#,##0"/>
    <x:numFmt numFmtId="201" formatCode="yyyy-mm-dd"/>
    <x:numFmt numFmtId="202" formatCode="0.000x"/>
    <x:numFmt numFmtId="203" formatCode="0.0%"/>
    <x:numFmt numFmtId="204" formatCode="$0.0000"/>
    <x:numFmt numFmtId="205" formatCode="0.00x"/>
    <x:numFmt numFmtId="206" formatCode="$0.00"/>
    <x:numFmt numFmtId="207" formatCode="$0.000"/>
    <x:numFmt numFmtId="208" formatCode="0.00"/>
    <x:numFmt numFmtId="209" formatCode="0.0000"/>
    <x:numFmt numFmtId="210" formatCode="0.000"/>
    <x:numFmt numFmtId="211" formatCode="$#,##0;[Red]($#,##0);-"/>
    <x:numFmt numFmtId="212" formatCode="$#,##0"/>
    <x:numFmt numFmtId="213" formatCode="$#,##0;[Red]($#,##0)"/>
    <x:numFmt numFmtId="214" formatCode="0.00%"/>
    <x:numFmt numFmtId="215" formatCode="0"/>
    <x:numFmt numFmtId="216" formatCode="$0.0,,&quot;m&quot;;[Red]($0.0,,&quot;m&quot;)"/>
    <x:numFmt numFmtId="217" formatCode="$0.0,,&quot;m&quot;"/>
    <x:numFmt numFmtId="218" formatCode="mmm yyyy"/>
    <x:numFmt numFmtId="219" formatCode="General"/>
  </x:numFmts>
  <x:fonts count="17">
    <x:font>
      <x:sz val="11"/>
      <x:name val="Carlito"/>
    </x:font>
    <x:font>
      <x:b/>
      <x:sz val="20"/>
      <x:color rgb="FFFFFFFF"/>
      <x:name val="Carlito"/>
    </x:font>
    <x:font>
      <x:i/>
      <x:sz val="10"/>
      <x:color rgb="FF0B1F33"/>
      <x:name val="Carlito"/>
    </x:font>
    <x:font>
      <x:b/>
      <x:sz val="9"/>
      <x:color rgb="FFFFFFFF"/>
      <x:name val="Carlito"/>
    </x:font>
    <x:font>
      <x:sz val="9"/>
      <x:color rgb="FF18212A"/>
      <x:name val="Carlito"/>
    </x:font>
    <x:font>
      <x:sz val="9"/>
      <x:color rgb="FF0000FF"/>
      <x:name val="Carlito"/>
    </x:font>
    <x:font>
      <x:b/>
      <x:sz val="9"/>
      <x:color rgb="FF0B1F33"/>
      <x:name val="Carlito"/>
    </x:font>
    <x:font>
      <x:sz val="10"/>
      <x:color rgb="FF6B4E00"/>
      <x:name val="Carlito"/>
    </x:font>
    <x:font>
      <x:sz val="9"/>
      <x:color rgb="FF2E7D32"/>
      <x:name val="Carlito"/>
    </x:font>
    <x:font>
      <x:b/>
      <x:sz val="11"/>
      <x:color rgb="FFFFFFFF"/>
      <x:name val="Carlito"/>
    </x:font>
    <x:font>
      <x:sz val="10"/>
      <x:color rgb="FF0B1F33"/>
      <x:name val="Carlito"/>
    </x:font>
    <x:font>
      <x:b/>
      <x:sz val="12"/>
      <x:color rgb="FFFFFFFF"/>
      <x:name val="Carlito"/>
    </x:font>
    <x:font>
      <x:b/>
      <x:sz val="12"/>
      <x:color rgb="FF2E7D32"/>
      <x:name val="Carlito"/>
    </x:font>
    <x:font>
      <x:b/>
      <x:sz val="10"/>
      <x:color rgb="FFFFFFFF"/>
      <x:name val="Carlito"/>
    </x:font>
    <x:font>
      <x:b/>
      <x:sz val="19"/>
      <x:color rgb="FF7A5700"/>
      <x:name val="Carlito"/>
    </x:font>
    <x:font>
      <x:b/>
      <x:sz val="18"/>
      <x:color rgb="FF0B1F33"/>
      <x:name val="Carlito"/>
    </x:font>
    <x:font>
      <x:b/>
      <x:sz val="11"/>
      <x:color rgb="FF6B4E00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0B1F33"/>
      </x:patternFill>
    </x:fill>
    <x:fill>
      <x:patternFill patternType="solid">
        <x:fgColor rgb="FFE8F7F6"/>
      </x:patternFill>
    </x:fill>
    <x:fill>
      <x:patternFill patternType="solid">
        <x:fgColor rgb="FFFFF6DD"/>
      </x:patternFill>
    </x:fill>
    <x:fill>
      <x:patternFill patternType="solid">
        <x:fgColor rgb="FFF3F5F7"/>
      </x:patternFill>
    </x:fill>
    <x:fill>
      <x:patternFill patternType="solid">
        <x:fgColor rgb="FF00A6A6"/>
      </x:patternFill>
    </x:fill>
    <x:fill>
      <x:patternFill patternType="solid">
        <x:fgColor rgb="FFFFF0C2"/>
      </x:patternFill>
    </x:fill>
  </x:fills>
  <x:borders count="44">
    <x:border/>
    <x:border>
      <x:left style="thin">
        <x:color rgb="FFCBD3DA"/>
      </x:left>
      <x:right style="thin">
        <x:color rgb="FFCBD3DA"/>
      </x:right>
      <x:top style="thin">
        <x:color rgb="FFCBD3DA"/>
      </x:top>
      <x:bottom style="thin">
        <x:color rgb="FFCBD3DA"/>
      </x:bottom>
    </x:border>
    <x:border>
      <x:right style="thin">
        <x:color rgb="FFE1E6EA"/>
      </x:right>
      <x:bottom style="thin">
        <x:color rgb="FFE1E6EA"/>
      </x:bottom>
    </x:border>
    <x:border>
      <x:left style="thin">
        <x:color rgb="FFE1E6EA"/>
      </x:left>
      <x:right style="thin">
        <x:color rgb="FFE1E6EA"/>
      </x:right>
      <x:bottom style="thin">
        <x:color rgb="FFE1E6EA"/>
      </x:bottom>
    </x:border>
    <x:border>
      <x:left style="thin">
        <x:color rgb="FFE1E6EA"/>
      </x:left>
      <x:bottom style="thin">
        <x:color rgb="FFE1E6EA"/>
      </x:bottom>
    </x:border>
    <x:border>
      <x:right style="thin">
        <x:color rgb="FFE1E6EA"/>
      </x:right>
      <x:top style="thin">
        <x:color rgb="FFE1E6EA"/>
      </x:top>
      <x:bottom style="thin">
        <x:color rgb="FFE1E6EA"/>
      </x:bottom>
    </x:border>
    <x:border>
      <x:left style="thin">
        <x:color rgb="FFE1E6EA"/>
      </x:left>
      <x:right style="thin">
        <x:color rgb="FFE1E6EA"/>
      </x:right>
      <x:top style="thin">
        <x:color rgb="FFE1E6EA"/>
      </x:top>
      <x:bottom style="thin">
        <x:color rgb="FFE1E6EA"/>
      </x:bottom>
    </x:border>
    <x:border>
      <x:left style="thin">
        <x:color rgb="FFE1E6EA"/>
      </x:left>
      <x:top style="thin">
        <x:color rgb="FFE1E6EA"/>
      </x:top>
      <x:bottom style="thin">
        <x:color rgb="FFE1E6EA"/>
      </x:bottom>
    </x:border>
    <x:border>
      <x:right style="thin">
        <x:color rgb="FFE1E6EA"/>
      </x:right>
      <x:top style="thin">
        <x:color rgb="FFE1E6EA"/>
      </x:top>
    </x:border>
    <x:border>
      <x:left style="thin">
        <x:color rgb="FFE1E6EA"/>
      </x:left>
      <x:right style="thin">
        <x:color rgb="FFE1E6EA"/>
      </x:right>
      <x:top style="thin">
        <x:color rgb="FFE1E6EA"/>
      </x:top>
    </x:border>
    <x:border>
      <x:left style="thin">
        <x:color rgb="FFE1E6EA"/>
      </x:left>
      <x:top style="thin">
        <x:color rgb="FFE1E6EA"/>
      </x:top>
    </x:border>
    <x:border>
      <x:left style="thin">
        <x:color rgb="FFF4B942"/>
      </x:left>
      <x:top style="thin">
        <x:color rgb="FFF4B942"/>
      </x:top>
    </x:border>
    <x:border>
      <x:top style="thin">
        <x:color rgb="FFF4B942"/>
      </x:top>
    </x:border>
    <x:border>
      <x:right style="thin">
        <x:color rgb="FFF4B942"/>
      </x:right>
      <x:top style="thin">
        <x:color rgb="FFF4B942"/>
      </x:top>
    </x:border>
    <x:border>
      <x:left style="thin">
        <x:color rgb="FFF4B942"/>
      </x:left>
    </x:border>
    <x:border>
      <x:right style="thin">
        <x:color rgb="FFF4B942"/>
      </x:right>
    </x:border>
    <x:border>
      <x:left style="thin">
        <x:color rgb="FFF4B942"/>
      </x:left>
      <x:bottom style="thin">
        <x:color rgb="FFF4B942"/>
      </x:bottom>
    </x:border>
    <x:border>
      <x:bottom style="thin">
        <x:color rgb="FFF4B942"/>
      </x:bottom>
    </x:border>
    <x:border>
      <x:right style="thin">
        <x:color rgb="FFF4B942"/>
      </x:right>
      <x:bottom style="thin">
        <x:color rgb="FFF4B942"/>
      </x:bottom>
    </x:border>
    <x:border>
      <x:right style="thin">
        <x:color rgb="FFCBD3DA"/>
      </x:right>
      <x:bottom style="thin">
        <x:color rgb="FFCBD3DA"/>
      </x:bottom>
    </x:border>
    <x:border>
      <x:left style="thin">
        <x:color rgb="FFCBD3DA"/>
      </x:left>
      <x:bottom style="thin">
        <x:color rgb="FFCBD3DA"/>
      </x:bottom>
    </x:border>
    <x:border>
      <x:right style="thin">
        <x:color rgb="FFCBD3DA"/>
      </x:right>
      <x:top style="thin">
        <x:color rgb="FFCBD3DA"/>
      </x:top>
      <x:bottom style="thin">
        <x:color rgb="FFCBD3DA"/>
      </x:bottom>
    </x:border>
    <x:border>
      <x:left style="thin">
        <x:color rgb="FFCBD3DA"/>
      </x:left>
      <x:top style="thin">
        <x:color rgb="FFCBD3DA"/>
      </x:top>
      <x:bottom style="thin">
        <x:color rgb="FFCBD3DA"/>
      </x:bottom>
    </x:border>
    <x:border>
      <x:right style="thin">
        <x:color rgb="FFCBD3DA"/>
      </x:right>
      <x:top style="thin">
        <x:color rgb="FFCBD3DA"/>
      </x:top>
    </x:border>
    <x:border>
      <x:left style="thin">
        <x:color rgb="FFCBD3DA"/>
      </x:left>
      <x:top style="thin">
        <x:color rgb="FFCBD3DA"/>
      </x:top>
    </x:border>
    <x:border>
      <x:bottom style="thin">
        <x:color rgb="FFCBD3DA"/>
      </x:bottom>
    </x:border>
    <x:border>
      <x:top style="thin">
        <x:color rgb="FFCBD3DA"/>
      </x:top>
      <x:bottom style="thin">
        <x:color rgb="FFCBD3DA"/>
      </x:bottom>
    </x:border>
    <x:border>
      <x:top style="thin">
        <x:color rgb="FFCBD3DA"/>
      </x:top>
    </x:border>
    <x:border>
      <x:left style="thin">
        <x:color rgb="FF00A6A6"/>
      </x:left>
      <x:top style="thin">
        <x:color rgb="FF00A6A6"/>
      </x:top>
    </x:border>
    <x:border>
      <x:top style="thin">
        <x:color rgb="FF00A6A6"/>
      </x:top>
    </x:border>
    <x:border>
      <x:right style="thin">
        <x:color rgb="FF00A6A6"/>
      </x:right>
      <x:top style="thin">
        <x:color rgb="FF00A6A6"/>
      </x:top>
    </x:border>
    <x:border>
      <x:left style="thin">
        <x:color rgb="FF00A6A6"/>
      </x:left>
    </x:border>
    <x:border>
      <x:right style="thin">
        <x:color rgb="FF00A6A6"/>
      </x:right>
    </x:border>
    <x:border>
      <x:left style="thin">
        <x:color rgb="FF00A6A6"/>
      </x:left>
      <x:bottom style="thin">
        <x:color rgb="FF00A6A6"/>
      </x:bottom>
    </x:border>
    <x:border>
      <x:bottom style="thin">
        <x:color rgb="FF00A6A6"/>
      </x:bottom>
    </x:border>
    <x:border>
      <x:right style="thin">
        <x:color rgb="FF00A6A6"/>
      </x:right>
      <x:bottom style="thin">
        <x:color rgb="FF00A6A6"/>
      </x:bottom>
    </x:border>
    <x:border>
      <x:left style="medium">
        <x:color rgb="FFF4B942"/>
      </x:left>
      <x:top style="medium">
        <x:color rgb="FFF4B942"/>
      </x:top>
    </x:border>
    <x:border>
      <x:top style="medium">
        <x:color rgb="FFF4B942"/>
      </x:top>
    </x:border>
    <x:border>
      <x:right style="medium">
        <x:color rgb="FFF4B942"/>
      </x:right>
      <x:top style="medium">
        <x:color rgb="FFF4B942"/>
      </x:top>
    </x:border>
    <x:border>
      <x:left style="medium">
        <x:color rgb="FFF4B942"/>
      </x:left>
    </x:border>
    <x:border>
      <x:right style="medium">
        <x:color rgb="FFF4B942"/>
      </x:right>
    </x:border>
    <x:border>
      <x:left style="medium">
        <x:color rgb="FFF4B942"/>
      </x:left>
      <x:bottom style="medium">
        <x:color rgb="FFF4B942"/>
      </x:bottom>
    </x:border>
    <x:border>
      <x:bottom style="medium">
        <x:color rgb="FFF4B942"/>
      </x:bottom>
    </x:border>
    <x:border>
      <x:right style="medium">
        <x:color rgb="FFF4B942"/>
      </x:right>
      <x:bottom style="medium">
        <x:color rgb="FFF4B942"/>
      </x:bottom>
    </x:border>
  </x:borders>
  <x:cellStyleXfs count="1">
    <x:xf numFmtId="0" fontId="0" fillId="0" borderId="0"/>
  </x:cellStyleXfs>
  <x:cellXfs count="48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6" xfId="0" applyNumberFormat="1" applyFont="1" applyFill="1" applyBorder="1"/>
    <x:xf numFmtId="0" fontId="4" fillId="0" borderId="7" xfId="0" applyNumberFormat="1" applyFont="1" applyFill="1" applyBorder="1"/>
    <x:xf numFmtId="0" fontId="4" fillId="0" borderId="8" xfId="0" applyNumberFormat="1" applyFont="1" applyFill="1" applyBorder="1"/>
    <x:xf numFmtId="0" fontId="4" fillId="0" borderId="9" xfId="0" applyNumberFormat="1" applyFont="1" applyFill="1" applyBorder="1"/>
    <x:xf numFmtId="0" fontId="4" fillId="0" borderId="10" xfId="0" applyNumberFormat="1" applyFont="1" applyFill="1" applyBorder="1"/>
    <x:xf numFmtId="0" fontId="4" fillId="0" borderId="2" xfId="0" applyNumberFormat="1" applyFont="1" applyFill="1" applyBorder="1" applyAlignment="1">
      <x:alignment vertical="center"/>
    </x:xf>
    <x:xf numFmtId="0" fontId="4" fillId="0" borderId="3" xfId="0" applyNumberFormat="1" applyFont="1" applyFill="1" applyBorder="1" applyAlignment="1">
      <x:alignment vertical="center"/>
    </x:xf>
    <x:xf numFmtId="0" fontId="4" fillId="0" borderId="4" xfId="0" applyNumberFormat="1" applyFont="1" applyFill="1" applyBorder="1" applyAlignment="1">
      <x:alignment vertical="center"/>
    </x:xf>
    <x:xf numFmtId="0" fontId="4" fillId="0" borderId="5" xfId="0" applyNumberFormat="1" applyFont="1" applyFill="1" applyBorder="1" applyAlignment="1">
      <x:alignment vertical="center"/>
    </x:xf>
    <x:xf numFmtId="0" fontId="4" fillId="0" borderId="6" xfId="0" applyNumberFormat="1" applyFont="1" applyFill="1" applyBorder="1" applyAlignment="1">
      <x:alignment vertical="center"/>
    </x:xf>
    <x:xf numFmtId="0" fontId="4" fillId="0" borderId="7" xfId="0" applyNumberFormat="1" applyFont="1" applyFill="1" applyBorder="1" applyAlignment="1">
      <x:alignment vertical="center"/>
    </x:xf>
    <x:xf numFmtId="0" fontId="4" fillId="0" borderId="8" xfId="0" applyNumberFormat="1" applyFont="1" applyFill="1" applyBorder="1" applyAlignment="1">
      <x:alignment vertical="center"/>
    </x:xf>
    <x:xf numFmtId="0" fontId="4" fillId="0" borderId="9" xfId="0" applyNumberFormat="1" applyFont="1" applyFill="1" applyBorder="1" applyAlignment="1">
      <x:alignment vertical="center"/>
    </x:xf>
    <x:xf numFmtId="0" fontId="4" fillId="0" borderId="10" xfId="0" applyNumberFormat="1" applyFont="1" applyFill="1" applyBorder="1" applyAlignment="1">
      <x:alignment vertical="center"/>
    </x:xf>
    <x:xf numFmtId="0" fontId="5" fillId="0" borderId="3" xfId="0" applyNumberFormat="1" applyFont="1" applyFill="1" applyBorder="1" applyAlignment="1">
      <x:alignment vertical="center"/>
    </x:xf>
    <x:xf numFmtId="0" fontId="5" fillId="0" borderId="6" xfId="0" applyNumberFormat="1" applyFont="1" applyFill="1" applyBorder="1" applyAlignment="1">
      <x:alignment vertical="center"/>
    </x:xf>
    <x:xf numFmtId="0" fontId="5" fillId="0" borderId="9" xfId="0" applyNumberFormat="1" applyFont="1" applyFill="1" applyBorder="1" applyAlignment="1">
      <x:alignment vertical="center"/>
    </x:xf>
    <x:xf numFmtId="200" fontId="5" fillId="0" borderId="3" xfId="0" applyNumberFormat="1" applyFont="1" applyFill="1" applyBorder="1" applyAlignment="1">
      <x:alignment vertical="center"/>
    </x:xf>
    <x:xf numFmtId="201" fontId="5" fillId="0" borderId="6" xfId="0" applyNumberFormat="1" applyFont="1" applyFill="1" applyBorder="1" applyAlignment="1">
      <x:alignment vertical="center"/>
    </x:xf>
    <x:xf numFmtId="202" fontId="5" fillId="0" borderId="6" xfId="0" applyNumberFormat="1" applyFont="1" applyFill="1" applyBorder="1" applyAlignment="1">
      <x:alignment vertical="center"/>
    </x:xf>
    <x:xf numFmtId="203" fontId="5" fillId="0" borderId="6" xfId="0" applyNumberFormat="1" applyFont="1" applyFill="1" applyBorder="1" applyAlignment="1">
      <x:alignment vertical="center"/>
    </x:xf>
    <x:xf numFmtId="204" fontId="5" fillId="0" borderId="6" xfId="0" applyNumberFormat="1" applyFont="1" applyFill="1" applyBorder="1" applyAlignment="1">
      <x:alignment vertical="center"/>
    </x:xf>
    <x:xf numFmtId="200" fontId="5" fillId="0" borderId="6" xfId="0" applyNumberFormat="1" applyFont="1" applyFill="1" applyBorder="1" applyAlignment="1">
      <x:alignment vertical="center"/>
    </x:xf>
    <x:xf numFmtId="205" fontId="5" fillId="0" borderId="9" xfId="0" applyNumberFormat="1" applyFont="1" applyFill="1" applyBorder="1" applyAlignment="1">
      <x:alignment vertical="center"/>
    </x:xf>
    <x:xf numFmtId="0" fontId="6" fillId="0" borderId="2" xfId="0" applyNumberFormat="1" applyFont="1" applyFill="1" applyBorder="1" applyAlignment="1">
      <x:alignment vertical="center"/>
    </x:xf>
    <x:xf numFmtId="0" fontId="6" fillId="0" borderId="5" xfId="0" applyNumberFormat="1" applyFont="1" applyFill="1" applyBorder="1" applyAlignment="1">
      <x:alignment vertical="center"/>
    </x:xf>
    <x:xf numFmtId="0" fontId="6" fillId="0" borderId="8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7" fillId="4" borderId="0" xfId="0" applyNumberFormat="1" applyFont="1" applyFill="1" applyBorder="1"/>
    <x:xf numFmtId="0" fontId="7" fillId="4" borderId="11" xfId="0" applyNumberFormat="1" applyFont="1" applyFill="1" applyBorder="1"/>
    <x:xf numFmtId="0" fontId="7" fillId="4" borderId="12" xfId="0" applyNumberFormat="1" applyFont="1" applyFill="1" applyBorder="1"/>
    <x:xf numFmtId="0" fontId="7" fillId="4" borderId="13" xfId="0" applyNumberFormat="1" applyFont="1" applyFill="1" applyBorder="1"/>
    <x:xf numFmtId="0" fontId="7" fillId="4" borderId="14" xfId="0" applyNumberFormat="1" applyFont="1" applyFill="1" applyBorder="1"/>
    <x:xf numFmtId="0" fontId="7" fillId="4" borderId="15" xfId="0" applyNumberFormat="1" applyFont="1" applyFill="1" applyBorder="1"/>
    <x:xf numFmtId="0" fontId="7" fillId="4" borderId="16" xfId="0" applyNumberFormat="1" applyFont="1" applyFill="1" applyBorder="1"/>
    <x:xf numFmtId="0" fontId="7" fillId="4" borderId="17" xfId="0" applyNumberFormat="1" applyFont="1" applyFill="1" applyBorder="1"/>
    <x:xf numFmtId="0" fontId="7" fillId="4" borderId="18" xfId="0" applyNumberFormat="1" applyFont="1" applyFill="1" applyBorder="1"/>
    <x:xf numFmtId="0" fontId="7" fillId="4" borderId="11" xfId="0" applyNumberFormat="1" applyFont="1" applyFill="1" applyBorder="1" applyAlignment="1">
      <x:alignment wrapText="1"/>
    </x:xf>
    <x:xf numFmtId="0" fontId="7" fillId="4" borderId="12" xfId="0" applyNumberFormat="1" applyFont="1" applyFill="1" applyBorder="1" applyAlignment="1">
      <x:alignment wrapText="1"/>
    </x:xf>
    <x:xf numFmtId="0" fontId="7" fillId="4" borderId="13" xfId="0" applyNumberFormat="1" applyFont="1" applyFill="1" applyBorder="1" applyAlignment="1">
      <x:alignment wrapText="1"/>
    </x:xf>
    <x:xf numFmtId="0" fontId="7" fillId="4" borderId="14" xfId="0" applyNumberFormat="1" applyFont="1" applyFill="1" applyBorder="1" applyAlignment="1">
      <x:alignment wrapText="1"/>
    </x:xf>
    <x:xf numFmtId="0" fontId="7" fillId="4" borderId="0" xfId="0" applyNumberFormat="1" applyFont="1" applyFill="1" applyBorder="1" applyAlignment="1">
      <x:alignment wrapText="1"/>
    </x:xf>
    <x:xf numFmtId="0" fontId="7" fillId="4" borderId="15" xfId="0" applyNumberFormat="1" applyFont="1" applyFill="1" applyBorder="1" applyAlignment="1">
      <x:alignment wrapText="1"/>
    </x:xf>
    <x:xf numFmtId="0" fontId="7" fillId="4" borderId="16" xfId="0" applyNumberFormat="1" applyFont="1" applyFill="1" applyBorder="1" applyAlignment="1">
      <x:alignment wrapText="1"/>
    </x:xf>
    <x:xf numFmtId="0" fontId="7" fillId="4" borderId="17" xfId="0" applyNumberFormat="1" applyFont="1" applyFill="1" applyBorder="1" applyAlignment="1">
      <x:alignment wrapText="1"/>
    </x:xf>
    <x:xf numFmtId="0" fontId="7" fillId="4" borderId="18" xfId="0" applyNumberFormat="1" applyFont="1" applyFill="1" applyBorder="1" applyAlignment="1">
      <x:alignment wrapText="1"/>
    </x:xf>
    <x:xf numFmtId="0" fontId="7" fillId="4" borderId="11" xfId="0" applyNumberFormat="1" applyFont="1" applyFill="1" applyBorder="1" applyAlignment="1">
      <x:alignment vertical="center" wrapText="1"/>
    </x:xf>
    <x:xf numFmtId="0" fontId="7" fillId="4" borderId="12" xfId="0" applyNumberFormat="1" applyFont="1" applyFill="1" applyBorder="1" applyAlignment="1">
      <x:alignment vertical="center" wrapText="1"/>
    </x:xf>
    <x:xf numFmtId="0" fontId="7" fillId="4" borderId="13" xfId="0" applyNumberFormat="1" applyFont="1" applyFill="1" applyBorder="1" applyAlignment="1">
      <x:alignment vertical="center" wrapText="1"/>
    </x:xf>
    <x:xf numFmtId="0" fontId="7" fillId="4" borderId="14" xfId="0" applyNumberFormat="1" applyFont="1" applyFill="1" applyBorder="1" applyAlignment="1">
      <x:alignment vertical="center" wrapText="1"/>
    </x:xf>
    <x:xf numFmtId="0" fontId="7" fillId="4" borderId="0" xfId="0" applyNumberFormat="1" applyFont="1" applyFill="1" applyBorder="1" applyAlignment="1">
      <x:alignment vertical="center" wrapText="1"/>
    </x:xf>
    <x:xf numFmtId="0" fontId="7" fillId="4" borderId="15" xfId="0" applyNumberFormat="1" applyFont="1" applyFill="1" applyBorder="1" applyAlignment="1">
      <x:alignment vertical="center" wrapText="1"/>
    </x:xf>
    <x:xf numFmtId="0" fontId="7" fillId="4" borderId="16" xfId="0" applyNumberFormat="1" applyFont="1" applyFill="1" applyBorder="1" applyAlignment="1">
      <x:alignment vertical="center" wrapText="1"/>
    </x:xf>
    <x:xf numFmtId="0" fontId="7" fillId="4" borderId="17" xfId="0" applyNumberFormat="1" applyFont="1" applyFill="1" applyBorder="1" applyAlignment="1">
      <x:alignment vertical="center" wrapText="1"/>
    </x:xf>
    <x:xf numFmtId="0" fontId="7" fillId="4" borderId="18" xfId="0" applyNumberFormat="1" applyFont="1" applyFill="1" applyBorder="1" applyAlignment="1">
      <x:alignment vertical="center" wrapText="1"/>
    </x:xf>
    <x:xf numFmtId="201" fontId="4" fillId="0" borderId="2" xfId="0" applyNumberFormat="1" applyFont="1" applyFill="1" applyBorder="1" applyAlignment="1">
      <x:alignment vertical="center"/>
    </x:xf>
    <x:xf numFmtId="201" fontId="4" fillId="0" borderId="3" xfId="0" applyNumberFormat="1" applyFont="1" applyFill="1" applyBorder="1" applyAlignment="1">
      <x:alignment vertical="center"/>
    </x:xf>
    <x:xf numFmtId="201" fontId="4" fillId="0" borderId="5" xfId="0" applyNumberFormat="1" applyFont="1" applyFill="1" applyBorder="1" applyAlignment="1">
      <x:alignment vertical="center"/>
    </x:xf>
    <x:xf numFmtId="201" fontId="4" fillId="0" borderId="6" xfId="0" applyNumberFormat="1" applyFont="1" applyFill="1" applyBorder="1" applyAlignment="1">
      <x:alignment vertical="center"/>
    </x:xf>
    <x:xf numFmtId="201" fontId="4" fillId="0" borderId="8" xfId="0" applyNumberFormat="1" applyFont="1" applyFill="1" applyBorder="1" applyAlignment="1">
      <x:alignment vertical="center"/>
    </x:xf>
    <x:xf numFmtId="201" fontId="4" fillId="0" borderId="9" xfId="0" applyNumberFormat="1" applyFont="1" applyFill="1" applyBorder="1" applyAlignment="1">
      <x:alignment vertical="center"/>
    </x:xf>
    <x:xf numFmtId="206" fontId="4" fillId="0" borderId="3" xfId="0" applyNumberFormat="1" applyFont="1" applyFill="1" applyBorder="1" applyAlignment="1">
      <x:alignment vertical="center"/>
    </x:xf>
    <x:xf numFmtId="206" fontId="4" fillId="0" borderId="6" xfId="0" applyNumberFormat="1" applyFont="1" applyFill="1" applyBorder="1" applyAlignment="1">
      <x:alignment vertical="center"/>
    </x:xf>
    <x:xf numFmtId="206" fontId="4" fillId="0" borderId="9" xfId="0" applyNumberFormat="1" applyFont="1" applyFill="1" applyBorder="1" applyAlignment="1">
      <x:alignment vertical="center"/>
    </x:xf>
    <x:xf numFmtId="207" fontId="4" fillId="0" borderId="3" xfId="0" applyNumberFormat="1" applyFont="1" applyFill="1" applyBorder="1" applyAlignment="1">
      <x:alignment vertical="center"/>
    </x:xf>
    <x:xf numFmtId="207" fontId="4" fillId="0" borderId="6" xfId="0" applyNumberFormat="1" applyFont="1" applyFill="1" applyBorder="1" applyAlignment="1">
      <x:alignment vertical="center"/>
    </x:xf>
    <x:xf numFmtId="207" fontId="4" fillId="0" borderId="9" xfId="0" applyNumberFormat="1" applyFont="1" applyFill="1" applyBorder="1" applyAlignment="1">
      <x:alignment vertical="center"/>
    </x:xf>
    <x:xf numFmtId="208" fontId="4" fillId="0" borderId="3" xfId="0" applyNumberFormat="1" applyFont="1" applyFill="1" applyBorder="1" applyAlignment="1">
      <x:alignment vertical="center"/>
    </x:xf>
    <x:xf numFmtId="208" fontId="4" fillId="0" borderId="4" xfId="0" applyNumberFormat="1" applyFont="1" applyFill="1" applyBorder="1" applyAlignment="1">
      <x:alignment vertical="center"/>
    </x:xf>
    <x:xf numFmtId="208" fontId="4" fillId="0" borderId="6" xfId="0" applyNumberFormat="1" applyFont="1" applyFill="1" applyBorder="1" applyAlignment="1">
      <x:alignment vertical="center"/>
    </x:xf>
    <x:xf numFmtId="208" fontId="4" fillId="0" borderId="7" xfId="0" applyNumberFormat="1" applyFont="1" applyFill="1" applyBorder="1" applyAlignment="1">
      <x:alignment vertical="center"/>
    </x:xf>
    <x:xf numFmtId="208" fontId="4" fillId="0" borderId="9" xfId="0" applyNumberFormat="1" applyFont="1" applyFill="1" applyBorder="1" applyAlignment="1">
      <x:alignment vertical="center"/>
    </x:xf>
    <x:xf numFmtId="208" fontId="4" fillId="0" borderId="10" xfId="0" applyNumberFormat="1" applyFont="1" applyFill="1" applyBorder="1" applyAlignment="1">
      <x:alignment vertical="center"/>
    </x:xf>
    <x:xf numFmtId="206" fontId="4" fillId="0" borderId="4" xfId="0" applyNumberFormat="1" applyFont="1" applyFill="1" applyBorder="1" applyAlignment="1">
      <x:alignment vertical="center"/>
    </x:xf>
    <x:xf numFmtId="206" fontId="4" fillId="0" borderId="7" xfId="0" applyNumberFormat="1" applyFont="1" applyFill="1" applyBorder="1" applyAlignment="1">
      <x:alignment vertical="center"/>
    </x:xf>
    <x:xf numFmtId="206" fontId="4" fillId="0" borderId="10" xfId="0" applyNumberFormat="1" applyFont="1" applyFill="1" applyBorder="1" applyAlignment="1">
      <x:alignment vertical="center"/>
    </x:xf>
    <x:xf numFmtId="0" fontId="8" fillId="0" borderId="2" xfId="0" applyNumberFormat="1" applyFont="1" applyFill="1" applyBorder="1" applyAlignment="1">
      <x:alignment vertical="center"/>
    </x:xf>
    <x:xf numFmtId="0" fontId="8" fillId="0" borderId="3" xfId="0" applyNumberFormat="1" applyFont="1" applyFill="1" applyBorder="1" applyAlignment="1">
      <x:alignment vertical="center"/>
    </x:xf>
    <x:xf numFmtId="0" fontId="8" fillId="0" borderId="5" xfId="0" applyNumberFormat="1" applyFont="1" applyFill="1" applyBorder="1" applyAlignment="1">
      <x:alignment vertical="center"/>
    </x:xf>
    <x:xf numFmtId="0" fontId="8" fillId="0" borderId="6" xfId="0" applyNumberFormat="1" applyFont="1" applyFill="1" applyBorder="1" applyAlignment="1">
      <x:alignment vertical="center"/>
    </x:xf>
    <x:xf numFmtId="0" fontId="8" fillId="0" borderId="8" xfId="0" applyNumberFormat="1" applyFont="1" applyFill="1" applyBorder="1" applyAlignment="1">
      <x:alignment vertical="center"/>
    </x:xf>
    <x:xf numFmtId="0" fontId="8" fillId="0" borderId="9" xfId="0" applyNumberFormat="1" applyFont="1" applyFill="1" applyBorder="1" applyAlignment="1">
      <x:alignment vertical="center"/>
    </x:xf>
    <x:xf numFmtId="201" fontId="8" fillId="0" borderId="2" xfId="0" applyNumberFormat="1" applyFont="1" applyFill="1" applyBorder="1" applyAlignment="1">
      <x:alignment vertical="center"/>
    </x:xf>
    <x:xf numFmtId="201" fontId="8" fillId="0" borderId="5" xfId="0" applyNumberFormat="1" applyFont="1" applyFill="1" applyBorder="1" applyAlignment="1">
      <x:alignment vertical="center"/>
    </x:xf>
    <x:xf numFmtId="201" fontId="8" fillId="0" borderId="8" xfId="0" applyNumberFormat="1" applyFont="1" applyFill="1" applyBorder="1" applyAlignment="1">
      <x:alignment vertical="center"/>
    </x:xf>
    <x:xf numFmtId="207" fontId="8" fillId="0" borderId="3" xfId="0" applyNumberFormat="1" applyFont="1" applyFill="1" applyBorder="1" applyAlignment="1">
      <x:alignment vertical="center"/>
    </x:xf>
    <x:xf numFmtId="207" fontId="8" fillId="0" borderId="6" xfId="0" applyNumberFormat="1" applyFont="1" applyFill="1" applyBorder="1" applyAlignment="1">
      <x:alignment vertical="center"/>
    </x:xf>
    <x:xf numFmtId="207" fontId="8" fillId="0" borderId="9" xfId="0" applyNumberFormat="1" applyFont="1" applyFill="1" applyBorder="1" applyAlignment="1">
      <x:alignment vertical="center"/>
    </x:xf>
    <x:xf numFmtId="208" fontId="8" fillId="0" borderId="3" xfId="0" applyNumberFormat="1" applyFont="1" applyFill="1" applyBorder="1" applyAlignment="1">
      <x:alignment vertical="center"/>
    </x:xf>
    <x:xf numFmtId="208" fontId="8" fillId="0" borderId="6" xfId="0" applyNumberFormat="1" applyFont="1" applyFill="1" applyBorder="1" applyAlignment="1">
      <x:alignment vertical="center"/>
    </x:xf>
    <x:xf numFmtId="208" fontId="8" fillId="0" borderId="9" xfId="0" applyNumberFormat="1" applyFont="1" applyFill="1" applyBorder="1" applyAlignment="1">
      <x:alignment vertical="center"/>
    </x:xf>
    <x:xf numFmtId="209" fontId="4" fillId="0" borderId="3" xfId="0" applyNumberFormat="1" applyFont="1" applyFill="1" applyBorder="1" applyAlignment="1">
      <x:alignment vertical="center"/>
    </x:xf>
    <x:xf numFmtId="209" fontId="4" fillId="0" borderId="6" xfId="0" applyNumberFormat="1" applyFont="1" applyFill="1" applyBorder="1" applyAlignment="1">
      <x:alignment vertical="center"/>
    </x:xf>
    <x:xf numFmtId="209" fontId="4" fillId="0" borderId="9" xfId="0" applyNumberFormat="1" applyFont="1" applyFill="1" applyBorder="1" applyAlignment="1">
      <x:alignment vertical="center"/>
    </x:xf>
    <x:xf numFmtId="206" fontId="8" fillId="0" borderId="3" xfId="0" applyNumberFormat="1" applyFont="1" applyFill="1" applyBorder="1" applyAlignment="1">
      <x:alignment vertical="center"/>
    </x:xf>
    <x:xf numFmtId="206" fontId="8" fillId="0" borderId="6" xfId="0" applyNumberFormat="1" applyFont="1" applyFill="1" applyBorder="1" applyAlignment="1">
      <x:alignment vertical="center"/>
    </x:xf>
    <x:xf numFmtId="206" fontId="8" fillId="0" borderId="9" xfId="0" applyNumberFormat="1" applyFont="1" applyFill="1" applyBorder="1" applyAlignment="1">
      <x:alignment vertical="center"/>
    </x:xf>
    <x:xf numFmtId="210" fontId="4" fillId="0" borderId="3" xfId="0" applyNumberFormat="1" applyFont="1" applyFill="1" applyBorder="1" applyAlignment="1">
      <x:alignment vertical="center"/>
    </x:xf>
    <x:xf numFmtId="210" fontId="4" fillId="0" borderId="6" xfId="0" applyNumberFormat="1" applyFont="1" applyFill="1" applyBorder="1" applyAlignment="1">
      <x:alignment vertical="center"/>
    </x:xf>
    <x:xf numFmtId="210" fontId="4" fillId="0" borderId="9" xfId="0" applyNumberFormat="1" applyFont="1" applyFill="1" applyBorder="1" applyAlignment="1">
      <x:alignment vertical="center"/>
    </x:xf>
    <x:xf numFmtId="211" fontId="4" fillId="0" borderId="3" xfId="0" applyNumberFormat="1" applyFont="1" applyFill="1" applyBorder="1" applyAlignment="1">
      <x:alignment vertical="center"/>
    </x:xf>
    <x:xf numFmtId="211" fontId="4" fillId="0" borderId="6" xfId="0" applyNumberFormat="1" applyFont="1" applyFill="1" applyBorder="1" applyAlignment="1">
      <x:alignment vertical="center"/>
    </x:xf>
    <x:xf numFmtId="211" fontId="4" fillId="0" borderId="9" xfId="0" applyNumberFormat="1" applyFont="1" applyFill="1" applyBorder="1" applyAlignment="1">
      <x:alignment vertical="center"/>
    </x:xf>
    <x:xf numFmtId="204" fontId="4" fillId="0" borderId="4" xfId="0" applyNumberFormat="1" applyFont="1" applyFill="1" applyBorder="1" applyAlignment="1">
      <x:alignment vertical="center"/>
    </x:xf>
    <x:xf numFmtId="204" fontId="4" fillId="0" borderId="7" xfId="0" applyNumberFormat="1" applyFont="1" applyFill="1" applyBorder="1" applyAlignment="1">
      <x:alignment vertical="center"/>
    </x:xf>
    <x:xf numFmtId="204" fontId="4" fillId="0" borderId="10" xfId="0" applyNumberFormat="1" applyFont="1" applyFill="1" applyBorder="1" applyAlignment="1">
      <x:alignment vertical="center"/>
    </x:xf>
    <x:xf numFmtId="0" fontId="0" fillId="0" borderId="19" xfId="0" applyNumberFormat="1" applyFont="1" applyFill="1" applyBorder="1"/>
    <x:xf numFmtId="0" fontId="0" fillId="0" borderId="20" xfId="0" applyNumberFormat="1" applyFont="1" applyFill="1" applyBorder="1"/>
    <x:xf numFmtId="0" fontId="0" fillId="0" borderId="21" xfId="0" applyNumberFormat="1" applyFont="1" applyFill="1" applyBorder="1"/>
    <x:xf numFmtId="0" fontId="0" fillId="0" borderId="22" xfId="0" applyNumberFormat="1" applyFont="1" applyFill="1" applyBorder="1"/>
    <x:xf numFmtId="0" fontId="0" fillId="0" borderId="23" xfId="0" applyNumberFormat="1" applyFont="1" applyFill="1" applyBorder="1"/>
    <x:xf numFmtId="0" fontId="0" fillId="0" borderId="24" xfId="0" applyNumberFormat="1" applyFont="1" applyFill="1" applyBorder="1"/>
    <x:xf numFmtId="0" fontId="0" fillId="5" borderId="19" xfId="0" applyNumberFormat="1" applyFont="1" applyFill="1" applyBorder="1"/>
    <x:xf numFmtId="0" fontId="0" fillId="5" borderId="21" xfId="0" applyNumberFormat="1" applyFont="1" applyFill="1" applyBorder="1"/>
    <x:xf numFmtId="0" fontId="0" fillId="5" borderId="23" xfId="0" applyNumberFormat="1" applyFont="1" applyFill="1" applyBorder="1"/>
    <x:xf numFmtId="0" fontId="6" fillId="5" borderId="19" xfId="0" applyNumberFormat="1" applyFont="1" applyFill="1" applyBorder="1"/>
    <x:xf numFmtId="0" fontId="6" fillId="5" borderId="21" xfId="0" applyNumberFormat="1" applyFont="1" applyFill="1" applyBorder="1"/>
    <x:xf numFmtId="0" fontId="6" fillId="5" borderId="23" xfId="0" applyNumberFormat="1" applyFont="1" applyFill="1" applyBorder="1"/>
    <x:xf numFmtId="0" fontId="4" fillId="0" borderId="20" xfId="0" applyNumberFormat="1" applyFont="1" applyFill="1" applyBorder="1"/>
    <x:xf numFmtId="0" fontId="4" fillId="0" borderId="22" xfId="0" applyNumberFormat="1" applyFont="1" applyFill="1" applyBorder="1"/>
    <x:xf numFmtId="0" fontId="4" fillId="0" borderId="24" xfId="0" applyNumberFormat="1" applyFont="1" applyFill="1" applyBorder="1"/>
    <x:xf numFmtId="211" fontId="4" fillId="0" borderId="22" xfId="0" applyNumberFormat="1" applyFont="1" applyFill="1" applyBorder="1"/>
    <x:xf numFmtId="209" fontId="4" fillId="0" borderId="22" xfId="0" applyNumberFormat="1" applyFont="1" applyFill="1" applyBorder="1"/>
    <x:xf numFmtId="203" fontId="4" fillId="0" borderId="22" xfId="0" applyNumberFormat="1" applyFont="1" applyFill="1" applyBorder="1"/>
    <x:xf numFmtId="207" fontId="4" fillId="0" borderId="22" xfId="0" applyNumberFormat="1" applyFont="1" applyFill="1" applyBorder="1"/>
    <x:xf numFmtId="212" fontId="4" fillId="0" borderId="22" xfId="0" applyNumberFormat="1" applyFont="1" applyFill="1" applyBorder="1"/>
    <x:xf numFmtId="201" fontId="4" fillId="0" borderId="22" xfId="0" applyNumberFormat="1" applyFont="1" applyFill="1" applyBorder="1"/>
    <x:xf numFmtId="213" fontId="4" fillId="0" borderId="22" xfId="0" applyNumberFormat="1" applyFont="1" applyFill="1" applyBorder="1"/>
    <x:xf numFmtId="201" fontId="5" fillId="0" borderId="3" xfId="0" applyNumberFormat="1" applyFont="1" applyFill="1" applyBorder="1" applyAlignment="1">
      <x:alignment vertical="center"/>
    </x:xf>
    <x:xf numFmtId="207" fontId="5" fillId="0" borderId="6" xfId="0" applyNumberFormat="1" applyFont="1" applyFill="1" applyBorder="1" applyAlignment="1">
      <x:alignment vertical="center"/>
    </x:xf>
    <x:xf numFmtId="214" fontId="5" fillId="0" borderId="6" xfId="0" applyNumberFormat="1" applyFont="1" applyFill="1" applyBorder="1" applyAlignment="1">
      <x:alignment vertical="center"/>
    </x:xf>
    <x:xf numFmtId="215" fontId="5" fillId="0" borderId="6" xfId="0" applyNumberFormat="1" applyFont="1" applyFill="1" applyBorder="1" applyAlignment="1">
      <x:alignment vertical="center"/>
    </x:xf>
    <x:xf numFmtId="206" fontId="5" fillId="0" borderId="9" xfId="0" applyNumberFormat="1" applyFont="1" applyFill="1" applyBorder="1" applyAlignment="1">
      <x:alignment vertical="center"/>
    </x:xf>
    <x:xf numFmtId="0" fontId="0" fillId="6" borderId="0" xfId="0" applyNumberFormat="1" applyFont="1" applyFill="1" applyBorder="1"/>
    <x:xf numFmtId="0" fontId="9" fillId="6" borderId="0" xfId="0" applyNumberFormat="1" applyFont="1" applyFill="1" applyBorder="1"/>
    <x:xf numFmtId="0" fontId="9" fillId="6" borderId="0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25" xfId="0" applyNumberFormat="1" applyFont="1" applyFill="1" applyBorder="1"/>
    <x:xf numFmtId="0" fontId="6" fillId="5" borderId="26" xfId="0" applyNumberFormat="1" applyFont="1" applyFill="1" applyBorder="1"/>
    <x:xf numFmtId="0" fontId="6" fillId="5" borderId="27" xfId="0" applyNumberFormat="1" applyFont="1" applyFill="1" applyBorder="1"/>
    <x:xf numFmtId="0" fontId="4" fillId="0" borderId="25" xfId="0" applyNumberFormat="1" applyFont="1" applyFill="1" applyBorder="1"/>
    <x:xf numFmtId="0" fontId="4" fillId="0" borderId="26" xfId="0" applyNumberFormat="1" applyFont="1" applyFill="1" applyBorder="1"/>
    <x:xf numFmtId="0" fontId="4" fillId="0" borderId="27" xfId="0" applyNumberFormat="1" applyFont="1" applyFill="1" applyBorder="1"/>
    <x:xf numFmtId="209" fontId="4" fillId="0" borderId="25" xfId="0" applyNumberFormat="1" applyFont="1" applyFill="1" applyBorder="1"/>
    <x:xf numFmtId="206" fontId="4" fillId="0" borderId="26" xfId="0" applyNumberFormat="1" applyFont="1" applyFill="1" applyBorder="1"/>
    <x:xf numFmtId="210" fontId="4" fillId="0" borderId="26" xfId="0" applyNumberFormat="1" applyFont="1" applyFill="1" applyBorder="1"/>
    <x:xf numFmtId="207" fontId="4" fillId="0" borderId="26" xfId="0" applyNumberFormat="1" applyFont="1" applyFill="1" applyBorder="1"/>
    <x:xf numFmtId="203" fontId="4" fillId="0" borderId="26" xfId="0" applyNumberFormat="1" applyFont="1" applyFill="1" applyBorder="1"/>
    <x:xf numFmtId="200" fontId="4" fillId="0" borderId="26" xfId="0" applyNumberFormat="1" applyFont="1" applyFill="1" applyBorder="1"/>
    <x:xf numFmtId="0" fontId="10" fillId="3" borderId="0" xfId="0" applyNumberFormat="1" applyFont="1" applyFill="1" applyBorder="1"/>
    <x:xf numFmtId="0" fontId="10" fillId="3" borderId="28" xfId="0" applyNumberFormat="1" applyFont="1" applyFill="1" applyBorder="1"/>
    <x:xf numFmtId="0" fontId="10" fillId="3" borderId="29" xfId="0" applyNumberFormat="1" applyFont="1" applyFill="1" applyBorder="1"/>
    <x:xf numFmtId="0" fontId="10" fillId="3" borderId="30" xfId="0" applyNumberFormat="1" applyFont="1" applyFill="1" applyBorder="1"/>
    <x:xf numFmtId="0" fontId="10" fillId="3" borderId="31" xfId="0" applyNumberFormat="1" applyFont="1" applyFill="1" applyBorder="1"/>
    <x:xf numFmtId="0" fontId="10" fillId="3" borderId="32" xfId="0" applyNumberFormat="1" applyFont="1" applyFill="1" applyBorder="1"/>
    <x:xf numFmtId="0" fontId="10" fillId="3" borderId="33" xfId="0" applyNumberFormat="1" applyFont="1" applyFill="1" applyBorder="1"/>
    <x:xf numFmtId="0" fontId="10" fillId="3" borderId="34" xfId="0" applyNumberFormat="1" applyFont="1" applyFill="1" applyBorder="1"/>
    <x:xf numFmtId="0" fontId="10" fillId="3" borderId="35" xfId="0" applyNumberFormat="1" applyFont="1" applyFill="1" applyBorder="1"/>
    <x:xf numFmtId="0" fontId="10" fillId="3" borderId="28" xfId="0" applyNumberFormat="1" applyFont="1" applyFill="1" applyBorder="1" applyAlignment="1">
      <x:alignment wrapText="1"/>
    </x:xf>
    <x:xf numFmtId="0" fontId="10" fillId="3" borderId="29" xfId="0" applyNumberFormat="1" applyFont="1" applyFill="1" applyBorder="1" applyAlignment="1">
      <x:alignment wrapText="1"/>
    </x:xf>
    <x:xf numFmtId="0" fontId="10" fillId="3" borderId="30" xfId="0" applyNumberFormat="1" applyFont="1" applyFill="1" applyBorder="1" applyAlignment="1">
      <x:alignment wrapText="1"/>
    </x:xf>
    <x:xf numFmtId="0" fontId="10" fillId="3" borderId="31" xfId="0" applyNumberFormat="1" applyFont="1" applyFill="1" applyBorder="1" applyAlignment="1">
      <x:alignment wrapText="1"/>
    </x:xf>
    <x:xf numFmtId="0" fontId="10" fillId="3" borderId="0" xfId="0" applyNumberFormat="1" applyFont="1" applyFill="1" applyBorder="1" applyAlignment="1">
      <x:alignment wrapText="1"/>
    </x:xf>
    <x:xf numFmtId="0" fontId="10" fillId="3" borderId="32" xfId="0" applyNumberFormat="1" applyFont="1" applyFill="1" applyBorder="1" applyAlignment="1">
      <x:alignment wrapText="1"/>
    </x:xf>
    <x:xf numFmtId="0" fontId="10" fillId="3" borderId="33" xfId="0" applyNumberFormat="1" applyFont="1" applyFill="1" applyBorder="1" applyAlignment="1">
      <x:alignment wrapText="1"/>
    </x:xf>
    <x:xf numFmtId="0" fontId="10" fillId="3" borderId="34" xfId="0" applyNumberFormat="1" applyFont="1" applyFill="1" applyBorder="1" applyAlignment="1">
      <x:alignment wrapText="1"/>
    </x:xf>
    <x:xf numFmtId="0" fontId="10" fillId="3" borderId="35" xfId="0" applyNumberFormat="1" applyFont="1" applyFill="1" applyBorder="1" applyAlignment="1">
      <x:alignment wrapText="1"/>
    </x:xf>
    <x:xf numFmtId="0" fontId="10" fillId="3" borderId="28" xfId="0" applyNumberFormat="1" applyFont="1" applyFill="1" applyBorder="1" applyAlignment="1">
      <x:alignment vertical="center" wrapText="1"/>
    </x:xf>
    <x:xf numFmtId="0" fontId="10" fillId="3" borderId="29" xfId="0" applyNumberFormat="1" applyFont="1" applyFill="1" applyBorder="1" applyAlignment="1">
      <x:alignment vertical="center" wrapText="1"/>
    </x:xf>
    <x:xf numFmtId="0" fontId="10" fillId="3" borderId="30" xfId="0" applyNumberFormat="1" applyFont="1" applyFill="1" applyBorder="1" applyAlignment="1">
      <x:alignment vertical="center" wrapText="1"/>
    </x:xf>
    <x:xf numFmtId="0" fontId="10" fillId="3" borderId="31" xfId="0" applyNumberFormat="1" applyFont="1" applyFill="1" applyBorder="1" applyAlignment="1">
      <x:alignment vertical="center" wrapText="1"/>
    </x:xf>
    <x:xf numFmtId="0" fontId="10" fillId="3" borderId="0" xfId="0" applyNumberFormat="1" applyFont="1" applyFill="1" applyBorder="1" applyAlignment="1">
      <x:alignment vertical="center" wrapText="1"/>
    </x:xf>
    <x:xf numFmtId="0" fontId="10" fillId="3" borderId="32" xfId="0" applyNumberFormat="1" applyFont="1" applyFill="1" applyBorder="1" applyAlignment="1">
      <x:alignment vertical="center" wrapText="1"/>
    </x:xf>
    <x:xf numFmtId="0" fontId="10" fillId="3" borderId="33" xfId="0" applyNumberFormat="1" applyFont="1" applyFill="1" applyBorder="1" applyAlignment="1">
      <x:alignment vertical="center" wrapText="1"/>
    </x:xf>
    <x:xf numFmtId="0" fontId="10" fillId="3" borderId="34" xfId="0" applyNumberFormat="1" applyFont="1" applyFill="1" applyBorder="1" applyAlignment="1">
      <x:alignment vertical="center" wrapText="1"/>
    </x:xf>
    <x:xf numFmtId="0" fontId="10" fillId="3" borderId="35" xfId="0" applyNumberFormat="1" applyFont="1" applyFill="1" applyBorder="1" applyAlignment="1">
      <x:alignment vertical="center" wrapText="1"/>
    </x:xf>
    <x:xf numFmtId="0" fontId="11" fillId="2" borderId="0" xfId="0" applyNumberFormat="1" applyFont="1" applyFill="1" applyBorder="1"/>
    <x:xf numFmtId="0" fontId="12" fillId="3" borderId="0" xfId="0" applyNumberFormat="1" applyFont="1" applyFill="1" applyBorder="1"/>
    <x:xf numFmtId="0" fontId="12" fillId="3" borderId="0" xfId="0" applyNumberFormat="1" applyFont="1" applyFill="1" applyBorder="1" applyAlignment="1">
      <x:alignment horizontal="center"/>
    </x:xf>
    <x:xf numFmtId="215" fontId="4" fillId="0" borderId="9" xfId="0" applyNumberFormat="1" applyFont="1" applyFill="1" applyBorder="1" applyAlignment="1">
      <x:alignment vertical="center"/>
    </x:xf>
    <x:xf numFmtId="0" fontId="4" fillId="0" borderId="2" xfId="0" applyNumberFormat="1" applyFont="1" applyFill="1" applyBorder="1" applyAlignment="1">
      <x:alignment vertical="center" wrapText="1"/>
    </x:xf>
    <x:xf numFmtId="0" fontId="4" fillId="0" borderId="3" xfId="0" applyNumberFormat="1" applyFont="1" applyFill="1" applyBorder="1" applyAlignment="1">
      <x:alignment vertical="center" wrapText="1"/>
    </x:xf>
    <x:xf numFmtId="0" fontId="5" fillId="0" borderId="3" xfId="0" applyNumberFormat="1" applyFont="1" applyFill="1" applyBorder="1" applyAlignment="1">
      <x:alignment vertical="center" wrapText="1"/>
    </x:xf>
    <x:xf numFmtId="0" fontId="4" fillId="0" borderId="4" xfId="0" applyNumberFormat="1" applyFont="1" applyFill="1" applyBorder="1" applyAlignment="1">
      <x:alignment vertical="center" wrapText="1"/>
    </x:xf>
    <x:xf numFmtId="0" fontId="4" fillId="0" borderId="5" xfId="0" applyNumberFormat="1" applyFont="1" applyFill="1" applyBorder="1" applyAlignment="1">
      <x:alignment vertical="center" wrapText="1"/>
    </x:xf>
    <x:xf numFmtId="0" fontId="4" fillId="0" borderId="6" xfId="0" applyNumberFormat="1" applyFont="1" applyFill="1" applyBorder="1" applyAlignment="1">
      <x:alignment vertical="center" wrapText="1"/>
    </x:xf>
    <x:xf numFmtId="0" fontId="5" fillId="0" borderId="6" xfId="0" applyNumberFormat="1" applyFont="1" applyFill="1" applyBorder="1" applyAlignment="1">
      <x:alignment vertical="center" wrapText="1"/>
    </x:xf>
    <x:xf numFmtId="0" fontId="4" fillId="0" borderId="7" xfId="0" applyNumberFormat="1" applyFont="1" applyFill="1" applyBorder="1" applyAlignment="1">
      <x:alignment vertical="center" wrapText="1"/>
    </x:xf>
    <x:xf numFmtId="0" fontId="4" fillId="0" borderId="8" xfId="0" applyNumberFormat="1" applyFont="1" applyFill="1" applyBorder="1" applyAlignment="1">
      <x:alignment vertical="center" wrapText="1"/>
    </x:xf>
    <x:xf numFmtId="0" fontId="4" fillId="0" borderId="9" xfId="0" applyNumberFormat="1" applyFont="1" applyFill="1" applyBorder="1" applyAlignment="1">
      <x:alignment vertical="center" wrapText="1"/>
    </x:xf>
    <x:xf numFmtId="0" fontId="5" fillId="0" borderId="9" xfId="0" applyNumberFormat="1" applyFont="1" applyFill="1" applyBorder="1" applyAlignment="1">
      <x:alignment vertical="center" wrapText="1"/>
    </x:xf>
    <x:xf numFmtId="0" fontId="4" fillId="0" borderId="10" xfId="0" applyNumberFormat="1" applyFont="1" applyFill="1" applyBorder="1" applyAlignment="1">
      <x:alignment vertical="center" wrapText="1"/>
    </x:xf>
    <x:xf numFmtId="0" fontId="13" fillId="2" borderId="0" xfId="0" applyNumberFormat="1" applyFont="1" applyFill="1" applyBorder="1"/>
    <x:xf numFmtId="0" fontId="13" fillId="2" borderId="0" xfId="0" applyNumberFormat="1" applyFont="1" applyFill="1" applyBorder="1" applyAlignment="1">
      <x:alignment horizontal="center"/>
    </x:xf>
    <x:xf numFmtId="0" fontId="0" fillId="7" borderId="0" xfId="0" applyNumberFormat="1" applyFont="1" applyFill="1" applyBorder="1"/>
    <x:xf numFmtId="0" fontId="14" fillId="7" borderId="0" xfId="0" applyNumberFormat="1" applyFont="1" applyFill="1" applyBorder="1"/>
    <x:xf numFmtId="0" fontId="14" fillId="7" borderId="36" xfId="0" applyNumberFormat="1" applyFont="1" applyFill="1" applyBorder="1"/>
    <x:xf numFmtId="0" fontId="14" fillId="7" borderId="37" xfId="0" applyNumberFormat="1" applyFont="1" applyFill="1" applyBorder="1"/>
    <x:xf numFmtId="0" fontId="14" fillId="7" borderId="38" xfId="0" applyNumberFormat="1" applyFont="1" applyFill="1" applyBorder="1"/>
    <x:xf numFmtId="0" fontId="14" fillId="7" borderId="39" xfId="0" applyNumberFormat="1" applyFont="1" applyFill="1" applyBorder="1"/>
    <x:xf numFmtId="0" fontId="14" fillId="7" borderId="40" xfId="0" applyNumberFormat="1" applyFont="1" applyFill="1" applyBorder="1"/>
    <x:xf numFmtId="0" fontId="14" fillId="7" borderId="41" xfId="0" applyNumberFormat="1" applyFont="1" applyFill="1" applyBorder="1"/>
    <x:xf numFmtId="0" fontId="14" fillId="7" borderId="42" xfId="0" applyNumberFormat="1" applyFont="1" applyFill="1" applyBorder="1"/>
    <x:xf numFmtId="0" fontId="14" fillId="7" borderId="43" xfId="0" applyNumberFormat="1" applyFont="1" applyFill="1" applyBorder="1"/>
    <x:xf numFmtId="0" fontId="14" fillId="7" borderId="36" xfId="0" applyNumberFormat="1" applyFont="1" applyFill="1" applyBorder="1" applyAlignment="1">
      <x:alignment horizontal="center"/>
    </x:xf>
    <x:xf numFmtId="0" fontId="14" fillId="7" borderId="37" xfId="0" applyNumberFormat="1" applyFont="1" applyFill="1" applyBorder="1" applyAlignment="1">
      <x:alignment horizontal="center"/>
    </x:xf>
    <x:xf numFmtId="0" fontId="14" fillId="7" borderId="38" xfId="0" applyNumberFormat="1" applyFont="1" applyFill="1" applyBorder="1" applyAlignment="1">
      <x:alignment horizontal="center"/>
    </x:xf>
    <x:xf numFmtId="0" fontId="14" fillId="7" borderId="39" xfId="0" applyNumberFormat="1" applyFont="1" applyFill="1" applyBorder="1" applyAlignment="1">
      <x:alignment horizontal="center"/>
    </x:xf>
    <x:xf numFmtId="0" fontId="14" fillId="7" borderId="0" xfId="0" applyNumberFormat="1" applyFont="1" applyFill="1" applyBorder="1" applyAlignment="1">
      <x:alignment horizontal="center"/>
    </x:xf>
    <x:xf numFmtId="0" fontId="14" fillId="7" borderId="40" xfId="0" applyNumberFormat="1" applyFont="1" applyFill="1" applyBorder="1" applyAlignment="1">
      <x:alignment horizontal="center"/>
    </x:xf>
    <x:xf numFmtId="0" fontId="14" fillId="7" borderId="41" xfId="0" applyNumberFormat="1" applyFont="1" applyFill="1" applyBorder="1" applyAlignment="1">
      <x:alignment horizontal="center"/>
    </x:xf>
    <x:xf numFmtId="0" fontId="14" fillId="7" borderId="42" xfId="0" applyNumberFormat="1" applyFont="1" applyFill="1" applyBorder="1" applyAlignment="1">
      <x:alignment horizontal="center"/>
    </x:xf>
    <x:xf numFmtId="0" fontId="14" fillId="7" borderId="43" xfId="0" applyNumberFormat="1" applyFont="1" applyFill="1" applyBorder="1" applyAlignment="1">
      <x:alignment horizontal="center"/>
    </x:xf>
    <x:xf numFmtId="0" fontId="14" fillId="7" borderId="36" xfId="0" applyNumberFormat="1" applyFont="1" applyFill="1" applyBorder="1" applyAlignment="1">
      <x:alignment horizontal="center" vertical="center"/>
    </x:xf>
    <x:xf numFmtId="0" fontId="14" fillId="7" borderId="37" xfId="0" applyNumberFormat="1" applyFont="1" applyFill="1" applyBorder="1" applyAlignment="1">
      <x:alignment horizontal="center" vertical="center"/>
    </x:xf>
    <x:xf numFmtId="0" fontId="14" fillId="7" borderId="38" xfId="0" applyNumberFormat="1" applyFont="1" applyFill="1" applyBorder="1" applyAlignment="1">
      <x:alignment horizontal="center" vertical="center"/>
    </x:xf>
    <x:xf numFmtId="0" fontId="14" fillId="7" borderId="39" xfId="0" applyNumberFormat="1" applyFont="1" applyFill="1" applyBorder="1" applyAlignment="1">
      <x:alignment horizontal="center" vertical="center"/>
    </x:xf>
    <x:xf numFmtId="0" fontId="14" fillId="7" borderId="0" xfId="0" applyNumberFormat="1" applyFont="1" applyFill="1" applyBorder="1" applyAlignment="1">
      <x:alignment horizontal="center" vertical="center"/>
    </x:xf>
    <x:xf numFmtId="0" fontId="14" fillId="7" borderId="40" xfId="0" applyNumberFormat="1" applyFont="1" applyFill="1" applyBorder="1" applyAlignment="1">
      <x:alignment horizontal="center" vertical="center"/>
    </x:xf>
    <x:xf numFmtId="0" fontId="14" fillId="7" borderId="41" xfId="0" applyNumberFormat="1" applyFont="1" applyFill="1" applyBorder="1" applyAlignment="1">
      <x:alignment horizontal="center" vertical="center"/>
    </x:xf>
    <x:xf numFmtId="0" fontId="14" fillId="7" borderId="42" xfId="0" applyNumberFormat="1" applyFont="1" applyFill="1" applyBorder="1" applyAlignment="1">
      <x:alignment horizontal="center" vertical="center"/>
    </x:xf>
    <x:xf numFmtId="0" fontId="14" fillId="7" borderId="43" xfId="0" applyNumberFormat="1" applyFont="1" applyFill="1" applyBorder="1" applyAlignment="1">
      <x:alignment horizontal="center" vertical="center"/>
    </x:xf>
    <x:xf numFmtId="0" fontId="15" fillId="3" borderId="0" xfId="0" applyNumberFormat="1" applyFont="1" applyFill="1" applyBorder="1"/>
    <x:xf numFmtId="0" fontId="15" fillId="3" borderId="28" xfId="0" applyNumberFormat="1" applyFont="1" applyFill="1" applyBorder="1"/>
    <x:xf numFmtId="0" fontId="15" fillId="3" borderId="29" xfId="0" applyNumberFormat="1" applyFont="1" applyFill="1" applyBorder="1"/>
    <x:xf numFmtId="0" fontId="15" fillId="3" borderId="30" xfId="0" applyNumberFormat="1" applyFont="1" applyFill="1" applyBorder="1"/>
    <x:xf numFmtId="0" fontId="15" fillId="3" borderId="31" xfId="0" applyNumberFormat="1" applyFont="1" applyFill="1" applyBorder="1"/>
    <x:xf numFmtId="0" fontId="15" fillId="3" borderId="32" xfId="0" applyNumberFormat="1" applyFont="1" applyFill="1" applyBorder="1"/>
    <x:xf numFmtId="0" fontId="15" fillId="3" borderId="33" xfId="0" applyNumberFormat="1" applyFont="1" applyFill="1" applyBorder="1"/>
    <x:xf numFmtId="0" fontId="15" fillId="3" borderId="34" xfId="0" applyNumberFormat="1" applyFont="1" applyFill="1" applyBorder="1"/>
    <x:xf numFmtId="0" fontId="15" fillId="3" borderId="35" xfId="0" applyNumberFormat="1" applyFont="1" applyFill="1" applyBorder="1"/>
    <x:xf numFmtId="216" fontId="15" fillId="3" borderId="28" xfId="0" applyNumberFormat="1" applyFont="1" applyFill="1" applyBorder="1"/>
    <x:xf numFmtId="216" fontId="15" fillId="3" borderId="29" xfId="0" applyNumberFormat="1" applyFont="1" applyFill="1" applyBorder="1"/>
    <x:xf numFmtId="216" fontId="15" fillId="3" borderId="30" xfId="0" applyNumberFormat="1" applyFont="1" applyFill="1" applyBorder="1"/>
    <x:xf numFmtId="216" fontId="15" fillId="3" borderId="31" xfId="0" applyNumberFormat="1" applyFont="1" applyFill="1" applyBorder="1"/>
    <x:xf numFmtId="216" fontId="15" fillId="3" borderId="0" xfId="0" applyNumberFormat="1" applyFont="1" applyFill="1" applyBorder="1"/>
    <x:xf numFmtId="216" fontId="15" fillId="3" borderId="32" xfId="0" applyNumberFormat="1" applyFont="1" applyFill="1" applyBorder="1"/>
    <x:xf numFmtId="216" fontId="15" fillId="3" borderId="33" xfId="0" applyNumberFormat="1" applyFont="1" applyFill="1" applyBorder="1"/>
    <x:xf numFmtId="216" fontId="15" fillId="3" borderId="34" xfId="0" applyNumberFormat="1" applyFont="1" applyFill="1" applyBorder="1"/>
    <x:xf numFmtId="216" fontId="15" fillId="3" borderId="35" xfId="0" applyNumberFormat="1" applyFont="1" applyFill="1" applyBorder="1"/>
    <x:xf numFmtId="216" fontId="15" fillId="3" borderId="28" xfId="0" applyNumberFormat="1" applyFont="1" applyFill="1" applyBorder="1" applyAlignment="1">
      <x:alignment horizontal="center"/>
    </x:xf>
    <x:xf numFmtId="216" fontId="15" fillId="3" borderId="29" xfId="0" applyNumberFormat="1" applyFont="1" applyFill="1" applyBorder="1" applyAlignment="1">
      <x:alignment horizontal="center"/>
    </x:xf>
    <x:xf numFmtId="216" fontId="15" fillId="3" borderId="30" xfId="0" applyNumberFormat="1" applyFont="1" applyFill="1" applyBorder="1" applyAlignment="1">
      <x:alignment horizontal="center"/>
    </x:xf>
    <x:xf numFmtId="216" fontId="15" fillId="3" borderId="31" xfId="0" applyNumberFormat="1" applyFont="1" applyFill="1" applyBorder="1" applyAlignment="1">
      <x:alignment horizontal="center"/>
    </x:xf>
    <x:xf numFmtId="216" fontId="15" fillId="3" borderId="0" xfId="0" applyNumberFormat="1" applyFont="1" applyFill="1" applyBorder="1" applyAlignment="1">
      <x:alignment horizontal="center"/>
    </x:xf>
    <x:xf numFmtId="216" fontId="15" fillId="3" borderId="32" xfId="0" applyNumberFormat="1" applyFont="1" applyFill="1" applyBorder="1" applyAlignment="1">
      <x:alignment horizontal="center"/>
    </x:xf>
    <x:xf numFmtId="216" fontId="15" fillId="3" borderId="33" xfId="0" applyNumberFormat="1" applyFont="1" applyFill="1" applyBorder="1" applyAlignment="1">
      <x:alignment horizontal="center"/>
    </x:xf>
    <x:xf numFmtId="216" fontId="15" fillId="3" borderId="34" xfId="0" applyNumberFormat="1" applyFont="1" applyFill="1" applyBorder="1" applyAlignment="1">
      <x:alignment horizontal="center"/>
    </x:xf>
    <x:xf numFmtId="216" fontId="15" fillId="3" borderId="35" xfId="0" applyNumberFormat="1" applyFont="1" applyFill="1" applyBorder="1" applyAlignment="1">
      <x:alignment horizontal="center"/>
    </x:xf>
    <x:xf numFmtId="216" fontId="15" fillId="3" borderId="28" xfId="0" applyNumberFormat="1" applyFont="1" applyFill="1" applyBorder="1" applyAlignment="1">
      <x:alignment horizontal="center" vertical="center"/>
    </x:xf>
    <x:xf numFmtId="216" fontId="15" fillId="3" borderId="29" xfId="0" applyNumberFormat="1" applyFont="1" applyFill="1" applyBorder="1" applyAlignment="1">
      <x:alignment horizontal="center" vertical="center"/>
    </x:xf>
    <x:xf numFmtId="216" fontId="15" fillId="3" borderId="30" xfId="0" applyNumberFormat="1" applyFont="1" applyFill="1" applyBorder="1" applyAlignment="1">
      <x:alignment horizontal="center" vertical="center"/>
    </x:xf>
    <x:xf numFmtId="216" fontId="15" fillId="3" borderId="31" xfId="0" applyNumberFormat="1" applyFont="1" applyFill="1" applyBorder="1" applyAlignment="1">
      <x:alignment horizontal="center" vertical="center"/>
    </x:xf>
    <x:xf numFmtId="216" fontId="15" fillId="3" borderId="0" xfId="0" applyNumberFormat="1" applyFont="1" applyFill="1" applyBorder="1" applyAlignment="1">
      <x:alignment horizontal="center" vertical="center"/>
    </x:xf>
    <x:xf numFmtId="216" fontId="15" fillId="3" borderId="32" xfId="0" applyNumberFormat="1" applyFont="1" applyFill="1" applyBorder="1" applyAlignment="1">
      <x:alignment horizontal="center" vertical="center"/>
    </x:xf>
    <x:xf numFmtId="216" fontId="15" fillId="3" borderId="33" xfId="0" applyNumberFormat="1" applyFont="1" applyFill="1" applyBorder="1" applyAlignment="1">
      <x:alignment horizontal="center" vertical="center"/>
    </x:xf>
    <x:xf numFmtId="216" fontId="15" fillId="3" borderId="34" xfId="0" applyNumberFormat="1" applyFont="1" applyFill="1" applyBorder="1" applyAlignment="1">
      <x:alignment horizontal="center" vertical="center"/>
    </x:xf>
    <x:xf numFmtId="216" fontId="15" fillId="3" borderId="35" xfId="0" applyNumberFormat="1" applyFont="1" applyFill="1" applyBorder="1" applyAlignment="1">
      <x:alignment horizontal="center" vertical="center"/>
    </x:xf>
    <x:xf numFmtId="217" fontId="15" fillId="3" borderId="28" xfId="0" applyNumberFormat="1" applyFont="1" applyFill="1" applyBorder="1"/>
    <x:xf numFmtId="217" fontId="15" fillId="3" borderId="29" xfId="0" applyNumberFormat="1" applyFont="1" applyFill="1" applyBorder="1"/>
    <x:xf numFmtId="217" fontId="15" fillId="3" borderId="30" xfId="0" applyNumberFormat="1" applyFont="1" applyFill="1" applyBorder="1"/>
    <x:xf numFmtId="217" fontId="15" fillId="3" borderId="31" xfId="0" applyNumberFormat="1" applyFont="1" applyFill="1" applyBorder="1"/>
    <x:xf numFmtId="217" fontId="15" fillId="3" borderId="0" xfId="0" applyNumberFormat="1" applyFont="1" applyFill="1" applyBorder="1"/>
    <x:xf numFmtId="217" fontId="15" fillId="3" borderId="32" xfId="0" applyNumberFormat="1" applyFont="1" applyFill="1" applyBorder="1"/>
    <x:xf numFmtId="217" fontId="15" fillId="3" borderId="33" xfId="0" applyNumberFormat="1" applyFont="1" applyFill="1" applyBorder="1"/>
    <x:xf numFmtId="217" fontId="15" fillId="3" borderId="34" xfId="0" applyNumberFormat="1" applyFont="1" applyFill="1" applyBorder="1"/>
    <x:xf numFmtId="217" fontId="15" fillId="3" borderId="35" xfId="0" applyNumberFormat="1" applyFont="1" applyFill="1" applyBorder="1"/>
    <x:xf numFmtId="217" fontId="15" fillId="3" borderId="28" xfId="0" applyNumberFormat="1" applyFont="1" applyFill="1" applyBorder="1" applyAlignment="1">
      <x:alignment horizontal="center"/>
    </x:xf>
    <x:xf numFmtId="217" fontId="15" fillId="3" borderId="29" xfId="0" applyNumberFormat="1" applyFont="1" applyFill="1" applyBorder="1" applyAlignment="1">
      <x:alignment horizontal="center"/>
    </x:xf>
    <x:xf numFmtId="217" fontId="15" fillId="3" borderId="30" xfId="0" applyNumberFormat="1" applyFont="1" applyFill="1" applyBorder="1" applyAlignment="1">
      <x:alignment horizontal="center"/>
    </x:xf>
    <x:xf numFmtId="217" fontId="15" fillId="3" borderId="31" xfId="0" applyNumberFormat="1" applyFont="1" applyFill="1" applyBorder="1" applyAlignment="1">
      <x:alignment horizontal="center"/>
    </x:xf>
    <x:xf numFmtId="217" fontId="15" fillId="3" borderId="0" xfId="0" applyNumberFormat="1" applyFont="1" applyFill="1" applyBorder="1" applyAlignment="1">
      <x:alignment horizontal="center"/>
    </x:xf>
    <x:xf numFmtId="217" fontId="15" fillId="3" borderId="32" xfId="0" applyNumberFormat="1" applyFont="1" applyFill="1" applyBorder="1" applyAlignment="1">
      <x:alignment horizontal="center"/>
    </x:xf>
    <x:xf numFmtId="217" fontId="15" fillId="3" borderId="33" xfId="0" applyNumberFormat="1" applyFont="1" applyFill="1" applyBorder="1" applyAlignment="1">
      <x:alignment horizontal="center"/>
    </x:xf>
    <x:xf numFmtId="217" fontId="15" fillId="3" borderId="34" xfId="0" applyNumberFormat="1" applyFont="1" applyFill="1" applyBorder="1" applyAlignment="1">
      <x:alignment horizontal="center"/>
    </x:xf>
    <x:xf numFmtId="217" fontId="15" fillId="3" borderId="35" xfId="0" applyNumberFormat="1" applyFont="1" applyFill="1" applyBorder="1" applyAlignment="1">
      <x:alignment horizontal="center"/>
    </x:xf>
    <x:xf numFmtId="217" fontId="15" fillId="3" borderId="28" xfId="0" applyNumberFormat="1" applyFont="1" applyFill="1" applyBorder="1" applyAlignment="1">
      <x:alignment horizontal="center" vertical="center"/>
    </x:xf>
    <x:xf numFmtId="217" fontId="15" fillId="3" borderId="29" xfId="0" applyNumberFormat="1" applyFont="1" applyFill="1" applyBorder="1" applyAlignment="1">
      <x:alignment horizontal="center" vertical="center"/>
    </x:xf>
    <x:xf numFmtId="217" fontId="15" fillId="3" borderId="30" xfId="0" applyNumberFormat="1" applyFont="1" applyFill="1" applyBorder="1" applyAlignment="1">
      <x:alignment horizontal="center" vertical="center"/>
    </x:xf>
    <x:xf numFmtId="217" fontId="15" fillId="3" borderId="31" xfId="0" applyNumberFormat="1" applyFont="1" applyFill="1" applyBorder="1" applyAlignment="1">
      <x:alignment horizontal="center" vertical="center"/>
    </x:xf>
    <x:xf numFmtId="217" fontId="15" fillId="3" borderId="0" xfId="0" applyNumberFormat="1" applyFont="1" applyFill="1" applyBorder="1" applyAlignment="1">
      <x:alignment horizontal="center" vertical="center"/>
    </x:xf>
    <x:xf numFmtId="217" fontId="15" fillId="3" borderId="32" xfId="0" applyNumberFormat="1" applyFont="1" applyFill="1" applyBorder="1" applyAlignment="1">
      <x:alignment horizontal="center" vertical="center"/>
    </x:xf>
    <x:xf numFmtId="217" fontId="15" fillId="3" borderId="33" xfId="0" applyNumberFormat="1" applyFont="1" applyFill="1" applyBorder="1" applyAlignment="1">
      <x:alignment horizontal="center" vertical="center"/>
    </x:xf>
    <x:xf numFmtId="217" fontId="15" fillId="3" borderId="34" xfId="0" applyNumberFormat="1" applyFont="1" applyFill="1" applyBorder="1" applyAlignment="1">
      <x:alignment horizontal="center" vertical="center"/>
    </x:xf>
    <x:xf numFmtId="217" fontId="15" fillId="3" borderId="35" xfId="0" applyNumberFormat="1" applyFont="1" applyFill="1" applyBorder="1" applyAlignment="1">
      <x:alignment horizontal="center" vertical="center"/>
    </x:xf>
    <x:xf numFmtId="203" fontId="15" fillId="3" borderId="28" xfId="0" applyNumberFormat="1" applyFont="1" applyFill="1" applyBorder="1"/>
    <x:xf numFmtId="203" fontId="15" fillId="3" borderId="29" xfId="0" applyNumberFormat="1" applyFont="1" applyFill="1" applyBorder="1"/>
    <x:xf numFmtId="203" fontId="15" fillId="3" borderId="30" xfId="0" applyNumberFormat="1" applyFont="1" applyFill="1" applyBorder="1"/>
    <x:xf numFmtId="203" fontId="15" fillId="3" borderId="31" xfId="0" applyNumberFormat="1" applyFont="1" applyFill="1" applyBorder="1"/>
    <x:xf numFmtId="203" fontId="15" fillId="3" borderId="0" xfId="0" applyNumberFormat="1" applyFont="1" applyFill="1" applyBorder="1"/>
    <x:xf numFmtId="203" fontId="15" fillId="3" borderId="32" xfId="0" applyNumberFormat="1" applyFont="1" applyFill="1" applyBorder="1"/>
    <x:xf numFmtId="203" fontId="15" fillId="3" borderId="33" xfId="0" applyNumberFormat="1" applyFont="1" applyFill="1" applyBorder="1"/>
    <x:xf numFmtId="203" fontId="15" fillId="3" borderId="34" xfId="0" applyNumberFormat="1" applyFont="1" applyFill="1" applyBorder="1"/>
    <x:xf numFmtId="203" fontId="15" fillId="3" borderId="35" xfId="0" applyNumberFormat="1" applyFont="1" applyFill="1" applyBorder="1"/>
    <x:xf numFmtId="203" fontId="15" fillId="3" borderId="28" xfId="0" applyNumberFormat="1" applyFont="1" applyFill="1" applyBorder="1" applyAlignment="1">
      <x:alignment horizontal="center"/>
    </x:xf>
    <x:xf numFmtId="203" fontId="15" fillId="3" borderId="29" xfId="0" applyNumberFormat="1" applyFont="1" applyFill="1" applyBorder="1" applyAlignment="1">
      <x:alignment horizontal="center"/>
    </x:xf>
    <x:xf numFmtId="203" fontId="15" fillId="3" borderId="30" xfId="0" applyNumberFormat="1" applyFont="1" applyFill="1" applyBorder="1" applyAlignment="1">
      <x:alignment horizontal="center"/>
    </x:xf>
    <x:xf numFmtId="203" fontId="15" fillId="3" borderId="31" xfId="0" applyNumberFormat="1" applyFont="1" applyFill="1" applyBorder="1" applyAlignment="1">
      <x:alignment horizontal="center"/>
    </x:xf>
    <x:xf numFmtId="203" fontId="15" fillId="3" borderId="0" xfId="0" applyNumberFormat="1" applyFont="1" applyFill="1" applyBorder="1" applyAlignment="1">
      <x:alignment horizontal="center"/>
    </x:xf>
    <x:xf numFmtId="203" fontId="15" fillId="3" borderId="32" xfId="0" applyNumberFormat="1" applyFont="1" applyFill="1" applyBorder="1" applyAlignment="1">
      <x:alignment horizontal="center"/>
    </x:xf>
    <x:xf numFmtId="203" fontId="15" fillId="3" borderId="33" xfId="0" applyNumberFormat="1" applyFont="1" applyFill="1" applyBorder="1" applyAlignment="1">
      <x:alignment horizontal="center"/>
    </x:xf>
    <x:xf numFmtId="203" fontId="15" fillId="3" borderId="34" xfId="0" applyNumberFormat="1" applyFont="1" applyFill="1" applyBorder="1" applyAlignment="1">
      <x:alignment horizontal="center"/>
    </x:xf>
    <x:xf numFmtId="203" fontId="15" fillId="3" borderId="35" xfId="0" applyNumberFormat="1" applyFont="1" applyFill="1" applyBorder="1" applyAlignment="1">
      <x:alignment horizontal="center"/>
    </x:xf>
    <x:xf numFmtId="203" fontId="15" fillId="3" borderId="28" xfId="0" applyNumberFormat="1" applyFont="1" applyFill="1" applyBorder="1" applyAlignment="1">
      <x:alignment horizontal="center" vertical="center"/>
    </x:xf>
    <x:xf numFmtId="203" fontId="15" fillId="3" borderId="29" xfId="0" applyNumberFormat="1" applyFont="1" applyFill="1" applyBorder="1" applyAlignment="1">
      <x:alignment horizontal="center" vertical="center"/>
    </x:xf>
    <x:xf numFmtId="203" fontId="15" fillId="3" borderId="30" xfId="0" applyNumberFormat="1" applyFont="1" applyFill="1" applyBorder="1" applyAlignment="1">
      <x:alignment horizontal="center" vertical="center"/>
    </x:xf>
    <x:xf numFmtId="203" fontId="15" fillId="3" borderId="31" xfId="0" applyNumberFormat="1" applyFont="1" applyFill="1" applyBorder="1" applyAlignment="1">
      <x:alignment horizontal="center" vertical="center"/>
    </x:xf>
    <x:xf numFmtId="203" fontId="15" fillId="3" borderId="0" xfId="0" applyNumberFormat="1" applyFont="1" applyFill="1" applyBorder="1" applyAlignment="1">
      <x:alignment horizontal="center" vertical="center"/>
    </x:xf>
    <x:xf numFmtId="203" fontId="15" fillId="3" borderId="32" xfId="0" applyNumberFormat="1" applyFont="1" applyFill="1" applyBorder="1" applyAlignment="1">
      <x:alignment horizontal="center" vertical="center"/>
    </x:xf>
    <x:xf numFmtId="203" fontId="15" fillId="3" borderId="33" xfId="0" applyNumberFormat="1" applyFont="1" applyFill="1" applyBorder="1" applyAlignment="1">
      <x:alignment horizontal="center" vertical="center"/>
    </x:xf>
    <x:xf numFmtId="203" fontId="15" fillId="3" borderId="34" xfId="0" applyNumberFormat="1" applyFont="1" applyFill="1" applyBorder="1" applyAlignment="1">
      <x:alignment horizontal="center" vertical="center"/>
    </x:xf>
    <x:xf numFmtId="203" fontId="15" fillId="3" borderId="35" xfId="0" applyNumberFormat="1" applyFont="1" applyFill="1" applyBorder="1" applyAlignment="1">
      <x:alignment horizontal="center" vertical="center"/>
    </x:xf>
    <x:xf numFmtId="218" fontId="15" fillId="3" borderId="28" xfId="0" applyNumberFormat="1" applyFont="1" applyFill="1" applyBorder="1"/>
    <x:xf numFmtId="218" fontId="15" fillId="3" borderId="29" xfId="0" applyNumberFormat="1" applyFont="1" applyFill="1" applyBorder="1"/>
    <x:xf numFmtId="218" fontId="15" fillId="3" borderId="30" xfId="0" applyNumberFormat="1" applyFont="1" applyFill="1" applyBorder="1"/>
    <x:xf numFmtId="218" fontId="15" fillId="3" borderId="31" xfId="0" applyNumberFormat="1" applyFont="1" applyFill="1" applyBorder="1"/>
    <x:xf numFmtId="218" fontId="15" fillId="3" borderId="0" xfId="0" applyNumberFormat="1" applyFont="1" applyFill="1" applyBorder="1"/>
    <x:xf numFmtId="218" fontId="15" fillId="3" borderId="32" xfId="0" applyNumberFormat="1" applyFont="1" applyFill="1" applyBorder="1"/>
    <x:xf numFmtId="218" fontId="15" fillId="3" borderId="33" xfId="0" applyNumberFormat="1" applyFont="1" applyFill="1" applyBorder="1"/>
    <x:xf numFmtId="218" fontId="15" fillId="3" borderId="34" xfId="0" applyNumberFormat="1" applyFont="1" applyFill="1" applyBorder="1"/>
    <x:xf numFmtId="218" fontId="15" fillId="3" borderId="35" xfId="0" applyNumberFormat="1" applyFont="1" applyFill="1" applyBorder="1"/>
    <x:xf numFmtId="218" fontId="15" fillId="3" borderId="28" xfId="0" applyNumberFormat="1" applyFont="1" applyFill="1" applyBorder="1" applyAlignment="1">
      <x:alignment horizontal="center"/>
    </x:xf>
    <x:xf numFmtId="218" fontId="15" fillId="3" borderId="29" xfId="0" applyNumberFormat="1" applyFont="1" applyFill="1" applyBorder="1" applyAlignment="1">
      <x:alignment horizontal="center"/>
    </x:xf>
    <x:xf numFmtId="218" fontId="15" fillId="3" borderId="30" xfId="0" applyNumberFormat="1" applyFont="1" applyFill="1" applyBorder="1" applyAlignment="1">
      <x:alignment horizontal="center"/>
    </x:xf>
    <x:xf numFmtId="218" fontId="15" fillId="3" borderId="31" xfId="0" applyNumberFormat="1" applyFont="1" applyFill="1" applyBorder="1" applyAlignment="1">
      <x:alignment horizontal="center"/>
    </x:xf>
    <x:xf numFmtId="218" fontId="15" fillId="3" borderId="0" xfId="0" applyNumberFormat="1" applyFont="1" applyFill="1" applyBorder="1" applyAlignment="1">
      <x:alignment horizontal="center"/>
    </x:xf>
    <x:xf numFmtId="218" fontId="15" fillId="3" borderId="32" xfId="0" applyNumberFormat="1" applyFont="1" applyFill="1" applyBorder="1" applyAlignment="1">
      <x:alignment horizontal="center"/>
    </x:xf>
    <x:xf numFmtId="218" fontId="15" fillId="3" borderId="33" xfId="0" applyNumberFormat="1" applyFont="1" applyFill="1" applyBorder="1" applyAlignment="1">
      <x:alignment horizontal="center"/>
    </x:xf>
    <x:xf numFmtId="218" fontId="15" fillId="3" borderId="34" xfId="0" applyNumberFormat="1" applyFont="1" applyFill="1" applyBorder="1" applyAlignment="1">
      <x:alignment horizontal="center"/>
    </x:xf>
    <x:xf numFmtId="218" fontId="15" fillId="3" borderId="35" xfId="0" applyNumberFormat="1" applyFont="1" applyFill="1" applyBorder="1" applyAlignment="1">
      <x:alignment horizontal="center"/>
    </x:xf>
    <x:xf numFmtId="218" fontId="15" fillId="3" borderId="28" xfId="0" applyNumberFormat="1" applyFont="1" applyFill="1" applyBorder="1" applyAlignment="1">
      <x:alignment horizontal="center" vertical="center"/>
    </x:xf>
    <x:xf numFmtId="218" fontId="15" fillId="3" borderId="29" xfId="0" applyNumberFormat="1" applyFont="1" applyFill="1" applyBorder="1" applyAlignment="1">
      <x:alignment horizontal="center" vertical="center"/>
    </x:xf>
    <x:xf numFmtId="218" fontId="15" fillId="3" borderId="30" xfId="0" applyNumberFormat="1" applyFont="1" applyFill="1" applyBorder="1" applyAlignment="1">
      <x:alignment horizontal="center" vertical="center"/>
    </x:xf>
    <x:xf numFmtId="218" fontId="15" fillId="3" borderId="31" xfId="0" applyNumberFormat="1" applyFont="1" applyFill="1" applyBorder="1" applyAlignment="1">
      <x:alignment horizontal="center" vertical="center"/>
    </x:xf>
    <x:xf numFmtId="218" fontId="15" fillId="3" borderId="0" xfId="0" applyNumberFormat="1" applyFont="1" applyFill="1" applyBorder="1" applyAlignment="1">
      <x:alignment horizontal="center" vertical="center"/>
    </x:xf>
    <x:xf numFmtId="218" fontId="15" fillId="3" borderId="32" xfId="0" applyNumberFormat="1" applyFont="1" applyFill="1" applyBorder="1" applyAlignment="1">
      <x:alignment horizontal="center" vertical="center"/>
    </x:xf>
    <x:xf numFmtId="218" fontId="15" fillId="3" borderId="33" xfId="0" applyNumberFormat="1" applyFont="1" applyFill="1" applyBorder="1" applyAlignment="1">
      <x:alignment horizontal="center" vertical="center"/>
    </x:xf>
    <x:xf numFmtId="218" fontId="15" fillId="3" borderId="34" xfId="0" applyNumberFormat="1" applyFont="1" applyFill="1" applyBorder="1" applyAlignment="1">
      <x:alignment horizontal="center" vertical="center"/>
    </x:xf>
    <x:xf numFmtId="218" fontId="15" fillId="3" borderId="35" xfId="0" applyNumberFormat="1" applyFont="1" applyFill="1" applyBorder="1" applyAlignment="1">
      <x:alignment horizontal="center" vertical="center"/>
    </x:xf>
    <x:xf numFmtId="206" fontId="15" fillId="3" borderId="28" xfId="0" applyNumberFormat="1" applyFont="1" applyFill="1" applyBorder="1"/>
    <x:xf numFmtId="206" fontId="15" fillId="3" borderId="29" xfId="0" applyNumberFormat="1" applyFont="1" applyFill="1" applyBorder="1"/>
    <x:xf numFmtId="206" fontId="15" fillId="3" borderId="30" xfId="0" applyNumberFormat="1" applyFont="1" applyFill="1" applyBorder="1"/>
    <x:xf numFmtId="206" fontId="15" fillId="3" borderId="31" xfId="0" applyNumberFormat="1" applyFont="1" applyFill="1" applyBorder="1"/>
    <x:xf numFmtId="206" fontId="15" fillId="3" borderId="0" xfId="0" applyNumberFormat="1" applyFont="1" applyFill="1" applyBorder="1"/>
    <x:xf numFmtId="206" fontId="15" fillId="3" borderId="32" xfId="0" applyNumberFormat="1" applyFont="1" applyFill="1" applyBorder="1"/>
    <x:xf numFmtId="206" fontId="15" fillId="3" borderId="33" xfId="0" applyNumberFormat="1" applyFont="1" applyFill="1" applyBorder="1"/>
    <x:xf numFmtId="206" fontId="15" fillId="3" borderId="34" xfId="0" applyNumberFormat="1" applyFont="1" applyFill="1" applyBorder="1"/>
    <x:xf numFmtId="206" fontId="15" fillId="3" borderId="35" xfId="0" applyNumberFormat="1" applyFont="1" applyFill="1" applyBorder="1"/>
    <x:xf numFmtId="206" fontId="15" fillId="3" borderId="28" xfId="0" applyNumberFormat="1" applyFont="1" applyFill="1" applyBorder="1" applyAlignment="1">
      <x:alignment horizontal="center"/>
    </x:xf>
    <x:xf numFmtId="206" fontId="15" fillId="3" borderId="29" xfId="0" applyNumberFormat="1" applyFont="1" applyFill="1" applyBorder="1" applyAlignment="1">
      <x:alignment horizontal="center"/>
    </x:xf>
    <x:xf numFmtId="206" fontId="15" fillId="3" borderId="30" xfId="0" applyNumberFormat="1" applyFont="1" applyFill="1" applyBorder="1" applyAlignment="1">
      <x:alignment horizontal="center"/>
    </x:xf>
    <x:xf numFmtId="206" fontId="15" fillId="3" borderId="31" xfId="0" applyNumberFormat="1" applyFont="1" applyFill="1" applyBorder="1" applyAlignment="1">
      <x:alignment horizontal="center"/>
    </x:xf>
    <x:xf numFmtId="206" fontId="15" fillId="3" borderId="0" xfId="0" applyNumberFormat="1" applyFont="1" applyFill="1" applyBorder="1" applyAlignment="1">
      <x:alignment horizontal="center"/>
    </x:xf>
    <x:xf numFmtId="206" fontId="15" fillId="3" borderId="32" xfId="0" applyNumberFormat="1" applyFont="1" applyFill="1" applyBorder="1" applyAlignment="1">
      <x:alignment horizontal="center"/>
    </x:xf>
    <x:xf numFmtId="206" fontId="15" fillId="3" borderId="33" xfId="0" applyNumberFormat="1" applyFont="1" applyFill="1" applyBorder="1" applyAlignment="1">
      <x:alignment horizontal="center"/>
    </x:xf>
    <x:xf numFmtId="206" fontId="15" fillId="3" borderId="34" xfId="0" applyNumberFormat="1" applyFont="1" applyFill="1" applyBorder="1" applyAlignment="1">
      <x:alignment horizontal="center"/>
    </x:xf>
    <x:xf numFmtId="206" fontId="15" fillId="3" borderId="35" xfId="0" applyNumberFormat="1" applyFont="1" applyFill="1" applyBorder="1" applyAlignment="1">
      <x:alignment horizontal="center"/>
    </x:xf>
    <x:xf numFmtId="206" fontId="15" fillId="3" borderId="28" xfId="0" applyNumberFormat="1" applyFont="1" applyFill="1" applyBorder="1" applyAlignment="1">
      <x:alignment horizontal="center" vertical="center"/>
    </x:xf>
    <x:xf numFmtId="206" fontId="15" fillId="3" borderId="29" xfId="0" applyNumberFormat="1" applyFont="1" applyFill="1" applyBorder="1" applyAlignment="1">
      <x:alignment horizontal="center" vertical="center"/>
    </x:xf>
    <x:xf numFmtId="206" fontId="15" fillId="3" borderId="30" xfId="0" applyNumberFormat="1" applyFont="1" applyFill="1" applyBorder="1" applyAlignment="1">
      <x:alignment horizontal="center" vertical="center"/>
    </x:xf>
    <x:xf numFmtId="206" fontId="15" fillId="3" borderId="31" xfId="0" applyNumberFormat="1" applyFont="1" applyFill="1" applyBorder="1" applyAlignment="1">
      <x:alignment horizontal="center" vertical="center"/>
    </x:xf>
    <x:xf numFmtId="206" fontId="15" fillId="3" borderId="0" xfId="0" applyNumberFormat="1" applyFont="1" applyFill="1" applyBorder="1" applyAlignment="1">
      <x:alignment horizontal="center" vertical="center"/>
    </x:xf>
    <x:xf numFmtId="206" fontId="15" fillId="3" borderId="32" xfId="0" applyNumberFormat="1" applyFont="1" applyFill="1" applyBorder="1" applyAlignment="1">
      <x:alignment horizontal="center" vertical="center"/>
    </x:xf>
    <x:xf numFmtId="206" fontId="15" fillId="3" borderId="33" xfId="0" applyNumberFormat="1" applyFont="1" applyFill="1" applyBorder="1" applyAlignment="1">
      <x:alignment horizontal="center" vertical="center"/>
    </x:xf>
    <x:xf numFmtId="206" fontId="15" fillId="3" borderId="34" xfId="0" applyNumberFormat="1" applyFont="1" applyFill="1" applyBorder="1" applyAlignment="1">
      <x:alignment horizontal="center" vertical="center"/>
    </x:xf>
    <x:xf numFmtId="206" fontId="15" fillId="3" borderId="35" xfId="0" applyNumberFormat="1" applyFont="1" applyFill="1" applyBorder="1" applyAlignment="1">
      <x:alignment horizontal="center" vertical="center"/>
    </x:xf>
    <x:xf numFmtId="219" fontId="15" fillId="3" borderId="28" xfId="0" applyNumberFormat="1" applyFont="1" applyFill="1" applyBorder="1"/>
    <x:xf numFmtId="219" fontId="15" fillId="3" borderId="29" xfId="0" applyNumberFormat="1" applyFont="1" applyFill="1" applyBorder="1"/>
    <x:xf numFmtId="219" fontId="15" fillId="3" borderId="30" xfId="0" applyNumberFormat="1" applyFont="1" applyFill="1" applyBorder="1"/>
    <x:xf numFmtId="219" fontId="15" fillId="3" borderId="31" xfId="0" applyNumberFormat="1" applyFont="1" applyFill="1" applyBorder="1"/>
    <x:xf numFmtId="219" fontId="15" fillId="3" borderId="0" xfId="0" applyNumberFormat="1" applyFont="1" applyFill="1" applyBorder="1"/>
    <x:xf numFmtId="219" fontId="15" fillId="3" borderId="32" xfId="0" applyNumberFormat="1" applyFont="1" applyFill="1" applyBorder="1"/>
    <x:xf numFmtId="219" fontId="15" fillId="3" borderId="33" xfId="0" applyNumberFormat="1" applyFont="1" applyFill="1" applyBorder="1"/>
    <x:xf numFmtId="219" fontId="15" fillId="3" borderId="34" xfId="0" applyNumberFormat="1" applyFont="1" applyFill="1" applyBorder="1"/>
    <x:xf numFmtId="219" fontId="15" fillId="3" borderId="35" xfId="0" applyNumberFormat="1" applyFont="1" applyFill="1" applyBorder="1"/>
    <x:xf numFmtId="219" fontId="15" fillId="3" borderId="28" xfId="0" applyNumberFormat="1" applyFont="1" applyFill="1" applyBorder="1" applyAlignment="1">
      <x:alignment horizontal="center"/>
    </x:xf>
    <x:xf numFmtId="219" fontId="15" fillId="3" borderId="29" xfId="0" applyNumberFormat="1" applyFont="1" applyFill="1" applyBorder="1" applyAlignment="1">
      <x:alignment horizontal="center"/>
    </x:xf>
    <x:xf numFmtId="219" fontId="15" fillId="3" borderId="30" xfId="0" applyNumberFormat="1" applyFont="1" applyFill="1" applyBorder="1" applyAlignment="1">
      <x:alignment horizontal="center"/>
    </x:xf>
    <x:xf numFmtId="219" fontId="15" fillId="3" borderId="31" xfId="0" applyNumberFormat="1" applyFont="1" applyFill="1" applyBorder="1" applyAlignment="1">
      <x:alignment horizontal="center"/>
    </x:xf>
    <x:xf numFmtId="219" fontId="15" fillId="3" borderId="0" xfId="0" applyNumberFormat="1" applyFont="1" applyFill="1" applyBorder="1" applyAlignment="1">
      <x:alignment horizontal="center"/>
    </x:xf>
    <x:xf numFmtId="219" fontId="15" fillId="3" borderId="32" xfId="0" applyNumberFormat="1" applyFont="1" applyFill="1" applyBorder="1" applyAlignment="1">
      <x:alignment horizontal="center"/>
    </x:xf>
    <x:xf numFmtId="219" fontId="15" fillId="3" borderId="33" xfId="0" applyNumberFormat="1" applyFont="1" applyFill="1" applyBorder="1" applyAlignment="1">
      <x:alignment horizontal="center"/>
    </x:xf>
    <x:xf numFmtId="219" fontId="15" fillId="3" borderId="34" xfId="0" applyNumberFormat="1" applyFont="1" applyFill="1" applyBorder="1" applyAlignment="1">
      <x:alignment horizontal="center"/>
    </x:xf>
    <x:xf numFmtId="219" fontId="15" fillId="3" borderId="35" xfId="0" applyNumberFormat="1" applyFont="1" applyFill="1" applyBorder="1" applyAlignment="1">
      <x:alignment horizontal="center"/>
    </x:xf>
    <x:xf numFmtId="219" fontId="15" fillId="3" borderId="28" xfId="0" applyNumberFormat="1" applyFont="1" applyFill="1" applyBorder="1" applyAlignment="1">
      <x:alignment horizontal="center" vertical="center"/>
    </x:xf>
    <x:xf numFmtId="219" fontId="15" fillId="3" borderId="29" xfId="0" applyNumberFormat="1" applyFont="1" applyFill="1" applyBorder="1" applyAlignment="1">
      <x:alignment horizontal="center" vertical="center"/>
    </x:xf>
    <x:xf numFmtId="219" fontId="15" fillId="3" borderId="30" xfId="0" applyNumberFormat="1" applyFont="1" applyFill="1" applyBorder="1" applyAlignment="1">
      <x:alignment horizontal="center" vertical="center"/>
    </x:xf>
    <x:xf numFmtId="219" fontId="15" fillId="3" borderId="31" xfId="0" applyNumberFormat="1" applyFont="1" applyFill="1" applyBorder="1" applyAlignment="1">
      <x:alignment horizontal="center" vertical="center"/>
    </x:xf>
    <x:xf numFmtId="219" fontId="15" fillId="3" borderId="0" xfId="0" applyNumberFormat="1" applyFont="1" applyFill="1" applyBorder="1" applyAlignment="1">
      <x:alignment horizontal="center" vertical="center"/>
    </x:xf>
    <x:xf numFmtId="219" fontId="15" fillId="3" borderId="32" xfId="0" applyNumberFormat="1" applyFont="1" applyFill="1" applyBorder="1" applyAlignment="1">
      <x:alignment horizontal="center" vertical="center"/>
    </x:xf>
    <x:xf numFmtId="219" fontId="15" fillId="3" borderId="33" xfId="0" applyNumberFormat="1" applyFont="1" applyFill="1" applyBorder="1" applyAlignment="1">
      <x:alignment horizontal="center" vertical="center"/>
    </x:xf>
    <x:xf numFmtId="219" fontId="15" fillId="3" borderId="34" xfId="0" applyNumberFormat="1" applyFont="1" applyFill="1" applyBorder="1" applyAlignment="1">
      <x:alignment horizontal="center" vertical="center"/>
    </x:xf>
    <x:xf numFmtId="219" fontId="15" fillId="3" borderId="35" xfId="0" applyNumberFormat="1" applyFont="1" applyFill="1" applyBorder="1" applyAlignment="1">
      <x:alignment horizontal="center" vertical="center"/>
    </x:xf>
    <x:xf numFmtId="0" fontId="16" fillId="4" borderId="0" xfId="0" applyNumberFormat="1" applyFont="1" applyFill="1" applyBorder="1"/>
    <x:xf numFmtId="0" fontId="16" fillId="4" borderId="11" xfId="0" applyNumberFormat="1" applyFont="1" applyFill="1" applyBorder="1"/>
    <x:xf numFmtId="0" fontId="16" fillId="4" borderId="12" xfId="0" applyNumberFormat="1" applyFont="1" applyFill="1" applyBorder="1"/>
    <x:xf numFmtId="0" fontId="16" fillId="4" borderId="13" xfId="0" applyNumberFormat="1" applyFont="1" applyFill="1" applyBorder="1"/>
    <x:xf numFmtId="0" fontId="16" fillId="4" borderId="14" xfId="0" applyNumberFormat="1" applyFont="1" applyFill="1" applyBorder="1"/>
    <x:xf numFmtId="0" fontId="16" fillId="4" borderId="15" xfId="0" applyNumberFormat="1" applyFont="1" applyFill="1" applyBorder="1"/>
    <x:xf numFmtId="0" fontId="16" fillId="4" borderId="16" xfId="0" applyNumberFormat="1" applyFont="1" applyFill="1" applyBorder="1"/>
    <x:xf numFmtId="0" fontId="16" fillId="4" borderId="17" xfId="0" applyNumberFormat="1" applyFont="1" applyFill="1" applyBorder="1"/>
    <x:xf numFmtId="0" fontId="16" fillId="4" borderId="18" xfId="0" applyNumberFormat="1" applyFont="1" applyFill="1" applyBorder="1"/>
    <x:xf numFmtId="0" fontId="16" fillId="4" borderId="11" xfId="0" applyNumberFormat="1" applyFont="1" applyFill="1" applyBorder="1" applyAlignment="1">
      <x:alignment wrapText="1"/>
    </x:xf>
    <x:xf numFmtId="0" fontId="16" fillId="4" borderId="12" xfId="0" applyNumberFormat="1" applyFont="1" applyFill="1" applyBorder="1" applyAlignment="1">
      <x:alignment wrapText="1"/>
    </x:xf>
    <x:xf numFmtId="0" fontId="16" fillId="4" borderId="13" xfId="0" applyNumberFormat="1" applyFont="1" applyFill="1" applyBorder="1" applyAlignment="1">
      <x:alignment wrapText="1"/>
    </x:xf>
    <x:xf numFmtId="0" fontId="16" fillId="4" borderId="14" xfId="0" applyNumberFormat="1" applyFont="1" applyFill="1" applyBorder="1" applyAlignment="1">
      <x:alignment wrapText="1"/>
    </x:xf>
    <x:xf numFmtId="0" fontId="16" fillId="4" borderId="0" xfId="0" applyNumberFormat="1" applyFont="1" applyFill="1" applyBorder="1" applyAlignment="1">
      <x:alignment wrapText="1"/>
    </x:xf>
    <x:xf numFmtId="0" fontId="16" fillId="4" borderId="15" xfId="0" applyNumberFormat="1" applyFont="1" applyFill="1" applyBorder="1" applyAlignment="1">
      <x:alignment wrapText="1"/>
    </x:xf>
    <x:xf numFmtId="0" fontId="16" fillId="4" borderId="16" xfId="0" applyNumberFormat="1" applyFont="1" applyFill="1" applyBorder="1" applyAlignment="1">
      <x:alignment wrapText="1"/>
    </x:xf>
    <x:xf numFmtId="0" fontId="16" fillId="4" borderId="17" xfId="0" applyNumberFormat="1" applyFont="1" applyFill="1" applyBorder="1" applyAlignment="1">
      <x:alignment wrapText="1"/>
    </x:xf>
    <x:xf numFmtId="0" fontId="16" fillId="4" borderId="18" xfId="0" applyNumberFormat="1" applyFont="1" applyFill="1" applyBorder="1" applyAlignment="1">
      <x:alignment wrapText="1"/>
    </x:xf>
    <x:xf numFmtId="0" fontId="16" fillId="4" borderId="11" xfId="0" applyNumberFormat="1" applyFont="1" applyFill="1" applyBorder="1" applyAlignment="1">
      <x:alignment vertical="center" wrapText="1"/>
    </x:xf>
    <x:xf numFmtId="0" fontId="16" fillId="4" borderId="12" xfId="0" applyNumberFormat="1" applyFont="1" applyFill="1" applyBorder="1" applyAlignment="1">
      <x:alignment vertical="center" wrapText="1"/>
    </x:xf>
    <x:xf numFmtId="0" fontId="16" fillId="4" borderId="13" xfId="0" applyNumberFormat="1" applyFont="1" applyFill="1" applyBorder="1" applyAlignment="1">
      <x:alignment vertical="center" wrapText="1"/>
    </x:xf>
    <x:xf numFmtId="0" fontId="16" fillId="4" borderId="14" xfId="0" applyNumberFormat="1" applyFont="1" applyFill="1" applyBorder="1" applyAlignment="1">
      <x:alignment vertical="center" wrapText="1"/>
    </x:xf>
    <x:xf numFmtId="0" fontId="16" fillId="4" borderId="0" xfId="0" applyNumberFormat="1" applyFont="1" applyFill="1" applyBorder="1" applyAlignment="1">
      <x:alignment vertical="center" wrapText="1"/>
    </x:xf>
    <x:xf numFmtId="0" fontId="16" fillId="4" borderId="15" xfId="0" applyNumberFormat="1" applyFont="1" applyFill="1" applyBorder="1" applyAlignment="1">
      <x:alignment vertical="center" wrapText="1"/>
    </x:xf>
    <x:xf numFmtId="0" fontId="16" fillId="4" borderId="16" xfId="0" applyNumberFormat="1" applyFont="1" applyFill="1" applyBorder="1" applyAlignment="1">
      <x:alignment vertical="center" wrapText="1"/>
    </x:xf>
    <x:xf numFmtId="0" fontId="16" fillId="4" borderId="17" xfId="0" applyNumberFormat="1" applyFont="1" applyFill="1" applyBorder="1" applyAlignment="1">
      <x:alignment vertical="center" wrapText="1"/>
    </x:xf>
    <x:xf numFmtId="0" fontId="16" fillId="4" borderId="18" xfId="0" applyNumberFormat="1" applyFont="1" applyFill="1" applyBorder="1" applyAlignment="1">
      <x:alignment vertical="center" wrapText="1"/>
    </x:xf>
    <x:xf numFmtId="206" fontId="0" fillId="0" borderId="0" xfId="0" applyNumberFormat="1" applyFont="1" applyFill="1" applyBorder="1"/>
    <x:xf numFmtId="206" fontId="4" fillId="0" borderId="0" xfId="0" applyNumberFormat="1" applyFont="1" applyFill="1" applyBorder="1"/>
    <x:xf numFmtId="206" fontId="4" fillId="0" borderId="3" xfId="0" applyNumberFormat="1" applyFont="1" applyFill="1" applyBorder="1"/>
    <x:xf numFmtId="206" fontId="4" fillId="0" borderId="4" xfId="0" applyNumberFormat="1" applyFont="1" applyFill="1" applyBorder="1"/>
    <x:xf numFmtId="206" fontId="4" fillId="0" borderId="6" xfId="0" applyNumberFormat="1" applyFont="1" applyFill="1" applyBorder="1"/>
    <x:xf numFmtId="206" fontId="4" fillId="0" borderId="7" xfId="0" applyNumberFormat="1" applyFont="1" applyFill="1" applyBorder="1"/>
    <x:xf numFmtId="206" fontId="4" fillId="0" borderId="9" xfId="0" applyNumberFormat="1" applyFont="1" applyFill="1" applyBorder="1"/>
    <x:xf numFmtId="206" fontId="4" fillId="0" borderId="10" xfId="0" applyNumberFormat="1" applyFont="1" applyFill="1" applyBorder="1"/>
    <x:xf numFmtId="216" fontId="0" fillId="0" borderId="0" xfId="0" applyNumberFormat="1" applyFont="1" applyFill="1" applyBorder="1"/>
    <x:xf numFmtId="216" fontId="4" fillId="0" borderId="0" xfId="0" applyNumberFormat="1" applyFont="1" applyFill="1" applyBorder="1"/>
    <x:xf numFmtId="216" fontId="4" fillId="0" borderId="4" xfId="0" applyNumberFormat="1" applyFont="1" applyFill="1" applyBorder="1"/>
    <x:xf numFmtId="216" fontId="4" fillId="0" borderId="7" xfId="0" applyNumberFormat="1" applyFont="1" applyFill="1" applyBorder="1"/>
    <x:xf numFmtId="216" fontId="4" fillId="0" borderId="10" xfId="0" applyNumberFormat="1" applyFont="1" applyFill="1" applyBorder="1"/>
    <x:xf numFmtId="216" fontId="4" fillId="0" borderId="4" xfId="0" applyNumberFormat="1" applyFont="1" applyFill="1" applyBorder="1" applyAlignment="1">
      <x:alignment vertical="center"/>
    </x:xf>
    <x:xf numFmtId="216" fontId="4" fillId="0" borderId="7" xfId="0" applyNumberFormat="1" applyFont="1" applyFill="1" applyBorder="1" applyAlignment="1">
      <x:alignment vertical="center"/>
    </x:xf>
    <x:xf numFmtId="216" fontId="4" fillId="0" borderId="10" xfId="0" applyNumberFormat="1" applyFont="1" applyFill="1" applyBorder="1" applyAlignment="1">
      <x:alignment vertical="center"/>
    </x:xf>
    <x:xf numFmtId="0" fontId="9" fillId="2" borderId="0" xfId="0" applyNumberFormat="1" applyFont="1" applyFill="1" applyBorder="1"/>
    <x:xf numFmtId="0" fontId="9" fillId="2" borderId="0" xfId="0" applyNumberFormat="1" applyFont="1" applyFill="1" applyBorder="1" applyAlignment="1">
      <x:alignment wrapText="1"/>
    </x:xf>
    <x:xf numFmtId="0" fontId="9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/>
    </x:xf>
    <x:xf numFmtId="0" fontId="13" fillId="2" borderId="0" xfId="0" applyNumberFormat="1" applyFont="1" applyFill="1" applyBorder="1" applyAlignment="1">
      <x:alignment horizontal="center" vertical="center"/>
    </x:xf>
    <x:xf numFmtId="0" fontId="6" fillId="5" borderId="19" xfId="0" applyNumberFormat="1" applyFont="1" applyFill="1" applyBorder="1" applyAlignment="1">
      <x:alignment vertical="center"/>
    </x:xf>
    <x:xf numFmtId="0" fontId="4" fillId="0" borderId="20" xfId="0" applyNumberFormat="1" applyFont="1" applyFill="1" applyBorder="1" applyAlignment="1">
      <x:alignment vertical="center"/>
    </x:xf>
    <x:xf numFmtId="0" fontId="6" fillId="5" borderId="21" xfId="0" applyNumberFormat="1" applyFont="1" applyFill="1" applyBorder="1" applyAlignment="1">
      <x:alignment vertical="center"/>
    </x:xf>
    <x:xf numFmtId="211" fontId="4" fillId="0" borderId="22" xfId="0" applyNumberFormat="1" applyFont="1" applyFill="1" applyBorder="1" applyAlignment="1">
      <x:alignment vertical="center"/>
    </x:xf>
    <x:xf numFmtId="209" fontId="4" fillId="0" borderId="22" xfId="0" applyNumberFormat="1" applyFont="1" applyFill="1" applyBorder="1" applyAlignment="1">
      <x:alignment vertical="center"/>
    </x:xf>
    <x:xf numFmtId="203" fontId="4" fillId="0" borderId="22" xfId="0" applyNumberFormat="1" applyFont="1" applyFill="1" applyBorder="1" applyAlignment="1">
      <x:alignment vertical="center"/>
    </x:xf>
    <x:xf numFmtId="207" fontId="4" fillId="0" borderId="22" xfId="0" applyNumberFormat="1" applyFont="1" applyFill="1" applyBorder="1" applyAlignment="1">
      <x:alignment vertical="center"/>
    </x:xf>
    <x:xf numFmtId="212" fontId="4" fillId="0" borderId="22" xfId="0" applyNumberFormat="1" applyFont="1" applyFill="1" applyBorder="1" applyAlignment="1">
      <x:alignment vertical="center"/>
    </x:xf>
    <x:xf numFmtId="201" fontId="4" fillId="0" borderId="22" xfId="0" applyNumberFormat="1" applyFont="1" applyFill="1" applyBorder="1" applyAlignment="1">
      <x:alignment vertical="center"/>
    </x:xf>
    <x:xf numFmtId="213" fontId="4" fillId="0" borderId="22" xfId="0" applyNumberFormat="1" applyFont="1" applyFill="1" applyBorder="1" applyAlignment="1">
      <x:alignment vertical="center"/>
    </x:xf>
    <x:xf numFmtId="0" fontId="6" fillId="5" borderId="23" xfId="0" applyNumberFormat="1" applyFont="1" applyFill="1" applyBorder="1" applyAlignment="1">
      <x:alignment vertical="center"/>
    </x:xf>
    <x:xf numFmtId="0" fontId="4" fillId="0" borderId="24" xfId="0" applyNumberFormat="1" applyFont="1" applyFill="1" applyBorder="1" applyAlignment="1">
      <x:alignment vertical="center"/>
    </x:xf>
    <x:xf numFmtId="0" fontId="6" fillId="5" borderId="25" xfId="0" applyNumberFormat="1" applyFont="1" applyFill="1" applyBorder="1" applyAlignment="1">
      <x:alignment vertical="center"/>
    </x:xf>
    <x:xf numFmtId="209" fontId="4" fillId="0" borderId="25" xfId="0" applyNumberFormat="1" applyFont="1" applyFill="1" applyBorder="1" applyAlignment="1">
      <x:alignment vertical="center"/>
    </x:xf>
    <x:xf numFmtId="0" fontId="6" fillId="5" borderId="26" xfId="0" applyNumberFormat="1" applyFont="1" applyFill="1" applyBorder="1" applyAlignment="1">
      <x:alignment vertical="center"/>
    </x:xf>
    <x:xf numFmtId="206" fontId="4" fillId="0" borderId="26" xfId="0" applyNumberFormat="1" applyFont="1" applyFill="1" applyBorder="1" applyAlignment="1">
      <x:alignment vertical="center"/>
    </x:xf>
    <x:xf numFmtId="210" fontId="4" fillId="0" borderId="26" xfId="0" applyNumberFormat="1" applyFont="1" applyFill="1" applyBorder="1" applyAlignment="1">
      <x:alignment vertical="center"/>
    </x:xf>
    <x:xf numFmtId="207" fontId="4" fillId="0" borderId="26" xfId="0" applyNumberFormat="1" applyFont="1" applyFill="1" applyBorder="1" applyAlignment="1">
      <x:alignment vertical="center"/>
    </x:xf>
    <x:xf numFmtId="203" fontId="4" fillId="0" borderId="26" xfId="0" applyNumberFormat="1" applyFont="1" applyFill="1" applyBorder="1" applyAlignment="1">
      <x:alignment vertical="center"/>
    </x:xf>
    <x:xf numFmtId="200" fontId="4" fillId="0" borderId="26" xfId="0" applyNumberFormat="1" applyFont="1" applyFill="1" applyBorder="1" applyAlignment="1">
      <x:alignment vertical="center"/>
    </x:xf>
    <x:xf numFmtId="0" fontId="6" fillId="5" borderId="27" xfId="0" applyNumberFormat="1" applyFont="1" applyFill="1" applyBorder="1" applyAlignment="1">
      <x:alignment vertical="center"/>
    </x:xf>
    <x:xf numFmtId="0" fontId="4" fillId="0" borderId="27" xfId="0" applyNumberFormat="1" applyFont="1" applyFill="1" applyBorder="1" applyAlignment="1">
      <x:alignment vertical="center"/>
    </x:xf>
    <x:xf numFmtId="0" fontId="11" fillId="2" borderId="0" xfId="0" applyNumberFormat="1" applyFont="1" applyFill="1" applyBorder="1" applyAlignment="1">
      <x:alignment vertical="center"/>
    </x:xf>
    <x:xf numFmtId="0" fontId="12" fillId="3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  <x:dxfs count="4">
    <x:dxf>
      <x:font>
        <x:b/>
        <x:color rgb="FF7A5700"/>
      </x:font>
      <x:fill>
        <x:patternFill patternType="solid">
          <x:bgColor rgb="FFFFF0C2"/>
        </x:patternFill>
      </x:fill>
    </x:dxf>
    <x:dxf>
      <x:font>
        <x:b/>
        <x:color rgb="FF2E7D32"/>
      </x:font>
      <x:fill>
        <x:patternFill patternType="solid">
          <x:bgColor rgb="FFDFF2E1"/>
        </x:patternFill>
      </x:fill>
    </x:dxf>
    <x:dxf>
      <x:font>
        <x:b/>
        <x:color rgb="FF2E7D32"/>
      </x:font>
      <x:fill>
        <x:patternFill patternType="solid">
          <x:bgColor rgb="FFDFF2E1"/>
        </x:patternFill>
      </x:fill>
    </x:dxf>
    <x:dxf>
      <x:font>
        <x:b/>
        <x:color rgb="FFC75C5C"/>
      </x:font>
      <x:fill>
        <x:patternFill patternType="solid">
          <x:bgColor rgb="FFFADDDD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950e734d71349d2" /><Relationship Type="http://schemas.openxmlformats.org/officeDocument/2006/relationships/theme" Target="/xl/theme/theme1.xml" Id="Rd147c71ec7b3437d" /><Relationship Type="http://schemas.openxmlformats.org/officeDocument/2006/relationships/sharedStrings" Target="/xl/sharedStrings.xml" Id="R5c69be55cb4d4c77" /><Relationship Type="http://schemas.openxmlformats.org/officeDocument/2006/relationships/worksheet" Target="/xl/worksheets/sheet1.xml" Id="Ra407c24654e64f22" /><Relationship Type="http://schemas.openxmlformats.org/officeDocument/2006/relationships/worksheet" Target="/xl/worksheets/sheet2.xml" Id="R6e746b1865654832" /><Relationship Type="http://schemas.openxmlformats.org/officeDocument/2006/relationships/worksheet" Target="/xl/worksheets/sheet3.xml" Id="Rb6478c437a8c4959" /><Relationship Type="http://schemas.openxmlformats.org/officeDocument/2006/relationships/worksheet" Target="/xl/worksheets/sheet4.xml" Id="Rde0926fe397e44f9" /><Relationship Type="http://schemas.openxmlformats.org/officeDocument/2006/relationships/worksheet" Target="/xl/worksheets/sheet5.xml" Id="R5c938bab13b34d00" /><Relationship Type="http://schemas.openxmlformats.org/officeDocument/2006/relationships/worksheet" Target="/xl/worksheets/sheet6.xml" Id="Re5a21a1a9a4f4230" /><Relationship Type="http://schemas.openxmlformats.org/officeDocument/2006/relationships/worksheet" Target="/xl/worksheets/sheet7.xml" Id="Rf004d469a4894b69" /><Relationship Type="http://schemas.openxmlformats.org/officeDocument/2006/relationships/worksheet" Target="/xl/worksheets/sheet8.xml" Id="Rc308bb0f19344e90" /><Relationship Type="http://schemas.microsoft.com/office/2017/10/relationships/person" Target="/xl/persons/person.xml" Id="R77075e815fe74c53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d7e2e3352e214f43" /><Relationship Type="http://schemas.openxmlformats.org/officeDocument/2006/relationships/chart" Target="/xl/drawings/charts/chart2.xml" Id="R7e500beb3bff4693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/>
              <a:t>Monthly net fuel cost ($/gal)</a:t>
            </a:r>
          </a:p>
        </c:rich>
      </c:tx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/>
          </a:pPr>
        </a:p>
      </c:txPr>
    </c:title>
    <c:plotArea>
      <c:lineChart>
        <c:grouping val="standard"/>
        <c:ser>
          <c:idx val="0"/>
          <c:order val="0"/>
          <c:tx>
            <c:v>Unhedged</c:v>
          </c:tx>
          <c:marker>
            <c:symbol val="none"/>
          </c:marker>
          <c:cat>
            <c:strRef>
              <c:f>'Summary'!$A$20:$A$54</c:f>
              <c:strCache>
                <c:ptCount val="0"/>
              </c:strCache>
            </c:strRef>
          </c:cat>
          <c:val>
            <c:numRef>
              <c:f>'Summary'!$B$20:$B$54</c:f>
              <c:numCache>
                <c:formatCode>$0.00</c:formatCode>
                <c:ptCount val="0"/>
              </c:numCache>
            </c:numRef>
          </c:val>
        </c:ser>
        <c:ser>
          <c:idx val="1"/>
          <c:order val="1"/>
          <c:tx>
            <c:v>Hybrid</c:v>
          </c:tx>
          <c:marker>
            <c:symbol val="none"/>
          </c:marker>
          <c:cat>
            <c:strRef>
              <c:f>'Summary'!$A$20:$A$54</c:f>
              <c:strCache>
                <c:ptCount val="0"/>
              </c:strCache>
            </c:strRef>
          </c:cat>
          <c:val>
            <c:numRef>
              <c:f>'Summary'!$C$20:$C$54</c:f>
              <c:numCache>
                <c:formatCode>$0.00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00"/>
            </a:pPr>
          </a:p>
        </c:txPr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$0.0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/>
              <a:t>Full-window savings versus unhedged ($m)</a:t>
            </a:r>
          </a:p>
        </c:rich>
      </c:tx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/>
          </a:pPr>
        </a:p>
      </c:txPr>
    </c:title>
    <c:plotArea>
      <c:barChart>
        <c:barDir val="col"/>
        <c:varyColors val="0"/>
        <c:ser>
          <c:idx val="0"/>
          <c:order val="0"/>
          <c:tx>
            <c:v>Savings vs unhedged</c:v>
          </c:tx>
          <c:cat>
            <c:strRef>
              <c:f>'Summary'!$E$40:$E$44</c:f>
              <c:strCache>
                <c:ptCount val="0"/>
              </c:strCache>
            </c:strRef>
          </c:cat>
          <c:val>
            <c:numRef>
              <c:f>'Summary'!$F$40:$F$44</c:f>
              <c:numCache>
                <c:formatCode>$0.0,,"m";[Red]($0.0,,"m")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$0.0,,&quot;m&quot;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4</xdr:col>
      <xdr:colOff>0</xdr:colOff>
      <xdr:row>18</xdr:row>
      <xdr:rowOff>0</xdr:rowOff>
    </xdr:from>
    <xdr:to>
      <xdr:col>13</xdr:col>
      <xdr:colOff>0</xdr:colOff>
      <xdr:row>36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7e2e3352e214f43"/>
        </a:graphicData>
      </a:graphic>
    </xdr:graphicFrame>
    <xdr:clientData/>
  </xdr:twoCellAnchor>
  <xdr:twoCellAnchor>
    <xdr:from>
      <xdr:col>7</xdr:col>
      <xdr:colOff>0</xdr:colOff>
      <xdr:row>38</xdr:row>
      <xdr:rowOff>0</xdr:rowOff>
    </xdr:from>
    <xdr:to>
      <xdr:col>13</xdr:col>
      <xdr:colOff>0</xdr:colOff>
      <xdr:row>53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e500beb3bff4693"/>
        </a:graphicData>
      </a:graphic>
    </xdr:graphicFrame>
    <xdr:clientData/>
  </xdr:twoCellAnchor>
</xdr:wsDr>
</file>

<file path=xl/persons/person.xml><?xml version="1.0" encoding="utf-8"?>
<xltc:personList xmlns:xltc="http://schemas.microsoft.com/office/spreadsheetml/2018/threadedcomments">
  <xltc:person displayName="User" id="{A889C302-9002-4060-9785-961E68A783F6}"/>
</xltc:personList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.xml><?xml version="1.0" encoding="utf-8"?>
<xltc:ThreadedComments xmlns:xltc="http://schemas.microsoft.com/office/spreadsheetml/2018/threadedcomments">
  <xltc:threadedComment ref="B8" dT="2026-08-03T04:07:46.21" personId="{A889C302-9002-4060-9785-961E68A783F6}" id="{E3FF16C1-D4C1-EABE-E245-13FA768026BD}">
    <xltc:text>Estimated only with monthly observations available through 2023-07-31; frozen for the audit.</xltc:text>
  </xltc:threadedComment>
</xltc:ThreadedComments>
</file>

<file path=xl/threadedcomments/threadedcomment2.xml><?xml version="1.0" encoding="utf-8"?>
<xltc:ThreadedComments xmlns:xltc="http://schemas.microsoft.com/office/spreadsheetml/2018/threadedcomments">
  <xltc:threadedComment ref="C5" dT="2026-08-03T04:07:46.21" personId="{A889C302-9002-4060-9785-961E68A783F6}" id="{74CADE12-4F5D-0DEA-6643-B646526D8EFC}">
    <xltc:text>Source: https://www.eia.gov/dnav/pet/hist/RBRTED.htm</xltc:text>
  </xltc:threadedComment>
  <xltc:threadedComment ref="D5" dT="2026-08-03T04:07:46.21" personId="{A889C302-9002-4060-9785-961E68A783F6}" id="{08BDA587-36FF-3E4D-73F8-34284E3ECD01}">
    <xltc:text>Source: https://www.eia.gov/dnav/pet/hist/EER_EPJK_PF4_RGC_DPGD.htm</xltc:text>
  </xltc:threadedComment>
  <xltc:threadedComment ref="E5" dT="2026-08-03T04:07:46.21" personId="{A889C302-9002-4060-9785-961E68A783F6}" id="{2F8AF218-18CA-B7D0-B022-1FFB25E378C7}">
    <xltc:text>Source: https://www.cboe.com/tradable_products/vix/vix_historical_data/</xltc:text>
  </xltc:threadedComment>
  <xltc:threadedComment ref="F5" dT="2026-08-03T04:07:46.21" personId="{A889C302-9002-4060-9785-961E68A783F6}" id="{1225AE60-3A1F-AF91-AC4B-7F6A2419D2C7}">
    <xltc:text>Source: https://fred.stlouisfed.org/series/DGS1MO</xltc:text>
  </xltc:threadedComment>
</xltc:ThreadedComments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e1bf6a3e7572475e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comments" Target="/xl/comments1.xml" Id="Rcf9b3a28dd8a44f5" /><Relationship Type="http://schemas.openxmlformats.org/officeDocument/2006/relationships/vmlDrawing" Target="/xl/drawings/vmldrawing.vml" Id="R4c46b5ec4f494cb9" /><Relationship Type="http://schemas.microsoft.com/office/2017/10/relationships/threadedComment" Target="/xl/threadedcomments/threadedcomment.xml" Id="R35d3f2895d034d6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comments" Target="/xl/comments2.xml" Id="R8f3cd509f1d14fc9" /><Relationship Type="http://schemas.openxmlformats.org/officeDocument/2006/relationships/vmlDrawing" Target="/xl/drawings/vmldrawing2.vml" Id="R36aeb8fb48db4ea9" /><Relationship Type="http://schemas.microsoft.com/office/2017/10/relationships/threadedComment" Target="/xl/threadedcomments/threadedcomment2.xml" Id="Rcc32ea0f7ed34ae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</x:cols>
  <x:sheetData>
    <x:row r="1" ht="34" customHeight="1">
      <x:c r="A1" s="3" t="str">
        <x:v>THE DERIVATIVES TIME MACHINE</x:v>
      </x:c>
      <x:c r="B1" s="3" t="str">
        <x:v>THE DERIVATIVES TIME MACHINE</x:v>
      </x:c>
      <x:c r="C1" s="3" t="str">
        <x:v>THE DERIVATIVES TIME MACHINE</x:v>
      </x:c>
      <x:c r="D1" s="3" t="str">
        <x:v>THE DERIVATIVES TIME MACHINE</x:v>
      </x:c>
      <x:c r="E1" s="3" t="str">
        <x:v>THE DERIVATIVES TIME MACHINE</x:v>
      </x:c>
      <x:c r="F1" s="3" t="str">
        <x:v>THE DERIVATIVES TIME MACHINE</x:v>
      </x:c>
      <x:c r="G1" s="3" t="str">
        <x:v>THE DERIVATIVES TIME MACHINE</x:v>
      </x:c>
      <x:c r="H1" s="3" t="str">
        <x:v>THE DERIVATIVES TIME MACHINE</x:v>
      </x:c>
      <x:c r="I1" s="3" t="str">
        <x:v>THE DERIVATIVES TIME MACHINE</x:v>
      </x:c>
      <x:c r="J1" s="3" t="str">
        <x:v>THE DERIVATIVES TIME MACHINE</x:v>
      </x:c>
      <x:c r="K1" s="3" t="str">
        <x:v>THE DERIVATIVES TIME MACHINE</x:v>
      </x:c>
      <x:c r="L1" s="3" t="str">
        <x:v>THE DERIVATIVES TIME MACHINE</x:v>
      </x:c>
      <x:c r="M1" s="3" t="str">
        <x:v>THE DERIVATIVES TIME MACHINE</x:v>
      </x:c>
    </x:row>
    <x:row r="2" ht="30" customHeight="1">
      <x:c r="A2" s="7" t="str">
        <x:v>Could a Gulf airline's 2023 hedge have protected it from the 2026 oil shock?</x:v>
      </x:c>
      <x:c r="B2" s="7" t="str">
        <x:v>Could a Gulf airline's 2023 hedge have protected it from the 2026 oil shock?</x:v>
      </x:c>
      <x:c r="C2" s="7" t="str">
        <x:v>Could a Gulf airline's 2023 hedge have protected it from the 2026 oil shock?</x:v>
      </x:c>
      <x:c r="D2" s="7" t="str">
        <x:v>Could a Gulf airline's 2023 hedge have protected it from the 2026 oil shock?</x:v>
      </x:c>
      <x:c r="E2" s="7" t="str">
        <x:v>Could a Gulf airline's 2023 hedge have protected it from the 2026 oil shock?</x:v>
      </x:c>
      <x:c r="F2" s="7" t="str">
        <x:v>Could a Gulf airline's 2023 hedge have protected it from the 2026 oil shock?</x:v>
      </x:c>
      <x:c r="G2" s="7" t="str">
        <x:v>Could a Gulf airline's 2023 hedge have protected it from the 2026 oil shock?</x:v>
      </x:c>
      <x:c r="H2" s="7" t="str">
        <x:v>Could a Gulf airline's 2023 hedge have protected it from the 2026 oil shock?</x:v>
      </x:c>
      <x:c r="I2" s="7" t="str">
        <x:v>Could a Gulf airline's 2023 hedge have protected it from the 2026 oil shock?</x:v>
      </x:c>
      <x:c r="J2" s="7" t="str">
        <x:v>Could a Gulf airline's 2023 hedge have protected it from the 2026 oil shock?</x:v>
      </x:c>
      <x:c r="K2" s="7" t="str">
        <x:v>Could a Gulf airline's 2023 hedge have protected it from the 2026 oil shock?</x:v>
      </x:c>
      <x:c r="L2" s="7" t="str">
        <x:v>Could a Gulf airline's 2023 hedge have protected it from the 2026 oil shock?</x:v>
      </x:c>
      <x:c r="M2" s="7" t="str">
        <x:v>Could a Gulf airline's 2023 hedge have protected it from the 2026 oil shock?</x:v>
      </x:c>
    </x:row>
    <x:row r="3">
      <x:c r="A3" s="458"/>
      <x:c r="B3" s="458"/>
      <x:c r="C3" s="458"/>
      <x:c r="D3" s="458"/>
      <x:c r="E3" s="458"/>
      <x:c r="F3" s="458"/>
      <x:c r="G3" s="458"/>
      <x:c r="H3" s="458"/>
      <x:c r="I3" s="458"/>
      <x:c r="J3" s="458"/>
      <x:c r="K3" s="458"/>
      <x:c r="L3" s="458"/>
      <x:c r="M3" s="458"/>
    </x:row>
    <x:row r="4">
      <x:c r="A4" s="459" t="str">
        <x:v>2023 recommendation verdict</x:v>
      </x:c>
      <x:c r="B4" s="459" t="str">
        <x:v>2023 recommendation verdict</x:v>
      </x:c>
      <x:c r="C4" s="459" t="str">
        <x:v>2023 recommendation verdict</x:v>
      </x:c>
      <x:c r="D4" s="459" t="str">
        <x:v>Full-window net</x:v>
      </x:c>
      <x:c r="E4" s="459" t="str">
        <x:v>Full-window net</x:v>
      </x:c>
      <x:c r="F4" s="459" t="str">
        <x:v>Full-window net</x:v>
      </x:c>
      <x:c r="G4" s="459" t="str">
        <x:v>2026 shock savings</x:v>
      </x:c>
      <x:c r="H4" s="459" t="str">
        <x:v>2026 shock savings</x:v>
      </x:c>
      <x:c r="I4" s="459" t="str">
        <x:v>2026 shock savings</x:v>
      </x:c>
      <x:c r="J4" s="459" t="str">
        <x:v>Cost variance reduced</x:v>
      </x:c>
      <x:c r="K4" s="459" t="str">
        <x:v>Cost variance reduced</x:v>
      </x:c>
      <x:c r="L4" s="459" t="str">
        <x:v>Cost variance reduced</x:v>
      </x:c>
      <x:c r="M4" s="459" t="str">
        <x:v>Cost variance reduced</x:v>
      </x:c>
    </x:row>
    <x:row r="5">
      <x:c r="A5" s="232" t="str">
        <x:f>'Audit Model'!Y23</x:f>
        <x:v>PARTIALLY CORRECT</x:v>
      </x:c>
      <x:c r="B5" s="233"/>
      <x:c r="C5" s="234"/>
      <x:c r="D5" s="268" t="n">
        <x:f>'Audit Model'!Y11</x:f>
        <x:v>-3019145.3692184687</x:v>
      </x:c>
      <x:c r="E5" s="269"/>
      <x:c r="F5" s="270"/>
      <x:c r="G5" s="295" t="n">
        <x:f>'Audit Model'!Y12</x:f>
        <x:v>1419590.7121625291</x:v>
      </x:c>
      <x:c r="H5" s="296"/>
      <x:c r="I5" s="297"/>
      <x:c r="J5" s="322" t="n">
        <x:f>'Audit Model'!Y15</x:f>
        <x:v>0.07535726401013176</x:v>
      </x:c>
      <x:c r="K5" s="323"/>
      <x:c r="L5" s="323"/>
      <x:c r="M5" s="324"/>
    </x:row>
    <x:row r="6">
      <x:c r="A6" s="235"/>
      <x:c r="B6" s="236"/>
      <x:c r="C6" s="237"/>
      <x:c r="D6" s="271"/>
      <x:c r="E6" s="272"/>
      <x:c r="F6" s="273"/>
      <x:c r="G6" s="298"/>
      <x:c r="H6" s="299"/>
      <x:c r="I6" s="300"/>
      <x:c r="J6" s="325"/>
      <x:c r="K6" s="326"/>
      <x:c r="L6" s="326"/>
      <x:c r="M6" s="327"/>
    </x:row>
    <x:row r="7">
      <x:c r="A7" s="238"/>
      <x:c r="B7" s="239"/>
      <x:c r="C7" s="240"/>
      <x:c r="D7" s="274"/>
      <x:c r="E7" s="275"/>
      <x:c r="F7" s="276"/>
      <x:c r="G7" s="301"/>
      <x:c r="H7" s="302"/>
      <x:c r="I7" s="303"/>
      <x:c r="J7" s="328"/>
      <x:c r="K7" s="329"/>
      <x:c r="L7" s="329"/>
      <x:c r="M7" s="330"/>
    </x:row>
    <x:row r="8">
      <x:c r="A8" s="458"/>
      <x:c r="B8" s="458"/>
      <x:c r="C8" s="458"/>
      <x:c r="D8" s="458"/>
      <x:c r="E8" s="458"/>
      <x:c r="F8" s="458"/>
      <x:c r="G8" s="458"/>
      <x:c r="H8" s="458"/>
      <x:c r="I8" s="458"/>
      <x:c r="J8" s="458"/>
      <x:c r="K8" s="458"/>
      <x:c r="L8" s="458"/>
      <x:c r="M8" s="458"/>
    </x:row>
    <x:row r="9">
      <x:c r="A9" s="459" t="str">
        <x:v>Peak protection</x:v>
      </x:c>
      <x:c r="B9" s="459" t="str">
        <x:v>Peak protection</x:v>
      </x:c>
      <x:c r="C9" s="459" t="str">
        <x:v>Peak protection</x:v>
      </x:c>
      <x:c r="D9" s="459" t="str">
        <x:v>Peak month</x:v>
      </x:c>
      <x:c r="E9" s="459" t="str">
        <x:v>Peak month</x:v>
      </x:c>
      <x:c r="F9" s="459" t="str">
        <x:v>Peak month</x:v>
      </x:c>
      <x:c r="G9" s="459" t="str">
        <x:v>Current Brent</x:v>
      </x:c>
      <x:c r="H9" s="459" t="str">
        <x:v>Current Brent</x:v>
      </x:c>
      <x:c r="I9" s="459" t="str">
        <x:v>Current Brent</x:v>
      </x:c>
      <x:c r="J9" s="459" t="str">
        <x:v>Current action</x:v>
      </x:c>
      <x:c r="K9" s="459" t="str">
        <x:v>Current action</x:v>
      </x:c>
      <x:c r="L9" s="459" t="str">
        <x:v>Current action</x:v>
      </x:c>
      <x:c r="M9" s="459" t="str">
        <x:v>Current action</x:v>
      </x:c>
    </x:row>
    <x:row r="10">
      <x:c r="A10" s="295" t="n">
        <x:f>'Audit Model'!Y19</x:f>
        <x:v>7764385.010751216</x:v>
      </x:c>
      <x:c r="B10" s="296"/>
      <x:c r="C10" s="297"/>
      <x:c r="D10" s="349" t="n">
        <x:f>'Audit Model'!Y20</x:f>
        <x:v>46112</x:v>
      </x:c>
      <x:c r="E10" s="350"/>
      <x:c r="F10" s="351"/>
      <x:c r="G10" s="376" t="n">
        <x:f>'Current Ticket'!B6</x:f>
        <x:v>91.82</x:v>
      </x:c>
      <x:c r="H10" s="377"/>
      <x:c r="I10" s="378"/>
      <x:c r="J10" s="403" t="str">
        <x:f>'Current Ticket'!F19</x:f>
        <x:v>HEDGE</x:v>
      </x:c>
      <x:c r="K10" s="404"/>
      <x:c r="L10" s="404"/>
      <x:c r="M10" s="405"/>
    </x:row>
    <x:row r="11">
      <x:c r="A11" s="298"/>
      <x:c r="B11" s="299"/>
      <x:c r="C11" s="300"/>
      <x:c r="D11" s="352"/>
      <x:c r="E11" s="353"/>
      <x:c r="F11" s="354"/>
      <x:c r="G11" s="379"/>
      <x:c r="H11" s="380"/>
      <x:c r="I11" s="381"/>
      <x:c r="J11" s="406"/>
      <x:c r="K11" s="407"/>
      <x:c r="L11" s="407"/>
      <x:c r="M11" s="408"/>
    </x:row>
    <x:row r="12">
      <x:c r="A12" s="301"/>
      <x:c r="B12" s="302"/>
      <x:c r="C12" s="303"/>
      <x:c r="D12" s="355"/>
      <x:c r="E12" s="356"/>
      <x:c r="F12" s="357"/>
      <x:c r="G12" s="382"/>
      <x:c r="H12" s="383"/>
      <x:c r="I12" s="384"/>
      <x:c r="J12" s="409"/>
      <x:c r="K12" s="410"/>
      <x:c r="L12" s="410"/>
      <x:c r="M12" s="411"/>
    </x:row>
    <x:row r="13">
      <x:c r="A13" s="458"/>
      <x:c r="B13" s="458"/>
      <x:c r="C13" s="458"/>
      <x:c r="D13" s="458"/>
      <x:c r="E13" s="458"/>
      <x:c r="F13" s="458"/>
      <x:c r="G13" s="458"/>
      <x:c r="H13" s="458"/>
      <x:c r="I13" s="458"/>
      <x:c r="J13" s="458"/>
      <x:c r="K13" s="458"/>
      <x:c r="L13" s="458"/>
      <x:c r="M13" s="458"/>
    </x:row>
    <x:row r="14">
      <x:c r="A14" s="430" t="str">
        <x:v>The hedge was insurance, not a profit engine: it saved $1.42m during the Jan-Jun 2026 shock and $7.76m in March alone, but cost $3.02m over the full 35-month audit. The 7.5% variance reduction makes the 2023 call only partially correct.</x:v>
      </x:c>
      <x:c r="B14" s="431" t="str">
        <x:v>The hedge was insurance, not a profit engine: it saved $1.42m during the Jan-Jun 2026 shock and $7.76m in March alone, but cost $3.02m over the full 35-month audit. The 7.5% variance reduction makes the 2023 call only partially correct.</x:v>
      </x:c>
      <x:c r="C14" s="431" t="str">
        <x:v>The hedge was insurance, not a profit engine: it saved $1.42m during the Jan-Jun 2026 shock and $7.76m in March alone, but cost $3.02m over the full 35-month audit. The 7.5% variance reduction makes the 2023 call only partially correct.</x:v>
      </x:c>
      <x:c r="D14" s="431" t="str">
        <x:v>The hedge was insurance, not a profit engine: it saved $1.42m during the Jan-Jun 2026 shock and $7.76m in March alone, but cost $3.02m over the full 35-month audit. The 7.5% variance reduction makes the 2023 call only partially correct.</x:v>
      </x:c>
      <x:c r="E14" s="431" t="str">
        <x:v>The hedge was insurance, not a profit engine: it saved $1.42m during the Jan-Jun 2026 shock and $7.76m in March alone, but cost $3.02m over the full 35-month audit. The 7.5% variance reduction makes the 2023 call only partially correct.</x:v>
      </x:c>
      <x:c r="F14" s="431" t="str">
        <x:v>The hedge was insurance, not a profit engine: it saved $1.42m during the Jan-Jun 2026 shock and $7.76m in March alone, but cost $3.02m over the full 35-month audit. The 7.5% variance reduction makes the 2023 call only partially correct.</x:v>
      </x:c>
      <x:c r="G14" s="431" t="str">
        <x:v>The hedge was insurance, not a profit engine: it saved $1.42m during the Jan-Jun 2026 shock and $7.76m in March alone, but cost $3.02m over the full 35-month audit. The 7.5% variance reduction makes the 2023 call only partially correct.</x:v>
      </x:c>
      <x:c r="H14" s="431" t="str">
        <x:v>The hedge was insurance, not a profit engine: it saved $1.42m during the Jan-Jun 2026 shock and $7.76m in March alone, but cost $3.02m over the full 35-month audit. The 7.5% variance reduction makes the 2023 call only partially correct.</x:v>
      </x:c>
      <x:c r="I14" s="431" t="str">
        <x:v>The hedge was insurance, not a profit engine: it saved $1.42m during the Jan-Jun 2026 shock and $7.76m in March alone, but cost $3.02m over the full 35-month audit. The 7.5% variance reduction makes the 2023 call only partially correct.</x:v>
      </x:c>
      <x:c r="J14" s="431" t="str">
        <x:v>The hedge was insurance, not a profit engine: it saved $1.42m during the Jan-Jun 2026 shock and $7.76m in March alone, but cost $3.02m over the full 35-month audit. The 7.5% variance reduction makes the 2023 call only partially correct.</x:v>
      </x:c>
      <x:c r="K14" s="431" t="str">
        <x:v>The hedge was insurance, not a profit engine: it saved $1.42m during the Jan-Jun 2026 shock and $7.76m in March alone, but cost $3.02m over the full 35-month audit. The 7.5% variance reduction makes the 2023 call only partially correct.</x:v>
      </x:c>
      <x:c r="L14" s="431" t="str">
        <x:v>The hedge was insurance, not a profit engine: it saved $1.42m during the Jan-Jun 2026 shock and $7.76m in March alone, but cost $3.02m over the full 35-month audit. The 7.5% variance reduction makes the 2023 call only partially correct.</x:v>
      </x:c>
      <x:c r="M14" s="432" t="str">
        <x:v>The hedge was insurance, not a profit engine: it saved $1.42m during the Jan-Jun 2026 shock and $7.76m in March alone, but cost $3.02m over the full 35-month audit. The 7.5% variance reduction makes the 2023 call only partially correct.</x:v>
      </x:c>
    </x:row>
    <x:row r="15">
      <x:c r="A15" s="433" t="str">
        <x:v>The hedge was insurance, not a profit engine: it saved $1.42m during the Jan-Jun 2026 shock and $7.76m in March alone, but cost $3.02m over the full 35-month audit. The 7.5% variance reduction makes the 2023 call only partially correct.</x:v>
      </x:c>
      <x:c r="B15" s="434" t="str">
        <x:v>The hedge was insurance, not a profit engine: it saved $1.42m during the Jan-Jun 2026 shock and $7.76m in March alone, but cost $3.02m over the full 35-month audit. The 7.5% variance reduction makes the 2023 call only partially correct.</x:v>
      </x:c>
      <x:c r="C15" s="434" t="str">
        <x:v>The hedge was insurance, not a profit engine: it saved $1.42m during the Jan-Jun 2026 shock and $7.76m in March alone, but cost $3.02m over the full 35-month audit. The 7.5% variance reduction makes the 2023 call only partially correct.</x:v>
      </x:c>
      <x:c r="D15" s="434" t="str">
        <x:v>The hedge was insurance, not a profit engine: it saved $1.42m during the Jan-Jun 2026 shock and $7.76m in March alone, but cost $3.02m over the full 35-month audit. The 7.5% variance reduction makes the 2023 call only partially correct.</x:v>
      </x:c>
      <x:c r="E15" s="434" t="str">
        <x:v>The hedge was insurance, not a profit engine: it saved $1.42m during the Jan-Jun 2026 shock and $7.76m in March alone, but cost $3.02m over the full 35-month audit. The 7.5% variance reduction makes the 2023 call only partially correct.</x:v>
      </x:c>
      <x:c r="F15" s="434" t="str">
        <x:v>The hedge was insurance, not a profit engine: it saved $1.42m during the Jan-Jun 2026 shock and $7.76m in March alone, but cost $3.02m over the full 35-month audit. The 7.5% variance reduction makes the 2023 call only partially correct.</x:v>
      </x:c>
      <x:c r="G15" s="434" t="str">
        <x:v>The hedge was insurance, not a profit engine: it saved $1.42m during the Jan-Jun 2026 shock and $7.76m in March alone, but cost $3.02m over the full 35-month audit. The 7.5% variance reduction makes the 2023 call only partially correct.</x:v>
      </x:c>
      <x:c r="H15" s="434" t="str">
        <x:v>The hedge was insurance, not a profit engine: it saved $1.42m during the Jan-Jun 2026 shock and $7.76m in March alone, but cost $3.02m over the full 35-month audit. The 7.5% variance reduction makes the 2023 call only partially correct.</x:v>
      </x:c>
      <x:c r="I15" s="434" t="str">
        <x:v>The hedge was insurance, not a profit engine: it saved $1.42m during the Jan-Jun 2026 shock and $7.76m in March alone, but cost $3.02m over the full 35-month audit. The 7.5% variance reduction makes the 2023 call only partially correct.</x:v>
      </x:c>
      <x:c r="J15" s="434" t="str">
        <x:v>The hedge was insurance, not a profit engine: it saved $1.42m during the Jan-Jun 2026 shock and $7.76m in March alone, but cost $3.02m over the full 35-month audit. The 7.5% variance reduction makes the 2023 call only partially correct.</x:v>
      </x:c>
      <x:c r="K15" s="434" t="str">
        <x:v>The hedge was insurance, not a profit engine: it saved $1.42m during the Jan-Jun 2026 shock and $7.76m in March alone, but cost $3.02m over the full 35-month audit. The 7.5% variance reduction makes the 2023 call only partially correct.</x:v>
      </x:c>
      <x:c r="L15" s="434" t="str">
        <x:v>The hedge was insurance, not a profit engine: it saved $1.42m during the Jan-Jun 2026 shock and $7.76m in March alone, but cost $3.02m over the full 35-month audit. The 7.5% variance reduction makes the 2023 call only partially correct.</x:v>
      </x:c>
      <x:c r="M15" s="435" t="str">
        <x:v>The hedge was insurance, not a profit engine: it saved $1.42m during the Jan-Jun 2026 shock and $7.76m in March alone, but cost $3.02m over the full 35-month audit. The 7.5% variance reduction makes the 2023 call only partially correct.</x:v>
      </x:c>
    </x:row>
    <x:row r="16">
      <x:c r="A16" s="436" t="str">
        <x:v>The hedge was insurance, not a profit engine: it saved $1.42m during the Jan-Jun 2026 shock and $7.76m in March alone, but cost $3.02m over the full 35-month audit. The 7.5% variance reduction makes the 2023 call only partially correct.</x:v>
      </x:c>
      <x:c r="B16" s="437" t="str">
        <x:v>The hedge was insurance, not a profit engine: it saved $1.42m during the Jan-Jun 2026 shock and $7.76m in March alone, but cost $3.02m over the full 35-month audit. The 7.5% variance reduction makes the 2023 call only partially correct.</x:v>
      </x:c>
      <x:c r="C16" s="437" t="str">
        <x:v>The hedge was insurance, not a profit engine: it saved $1.42m during the Jan-Jun 2026 shock and $7.76m in March alone, but cost $3.02m over the full 35-month audit. The 7.5% variance reduction makes the 2023 call only partially correct.</x:v>
      </x:c>
      <x:c r="D16" s="437" t="str">
        <x:v>The hedge was insurance, not a profit engine: it saved $1.42m during the Jan-Jun 2026 shock and $7.76m in March alone, but cost $3.02m over the full 35-month audit. The 7.5% variance reduction makes the 2023 call only partially correct.</x:v>
      </x:c>
      <x:c r="E16" s="437" t="str">
        <x:v>The hedge was insurance, not a profit engine: it saved $1.42m during the Jan-Jun 2026 shock and $7.76m in March alone, but cost $3.02m over the full 35-month audit. The 7.5% variance reduction makes the 2023 call only partially correct.</x:v>
      </x:c>
      <x:c r="F16" s="437" t="str">
        <x:v>The hedge was insurance, not a profit engine: it saved $1.42m during the Jan-Jun 2026 shock and $7.76m in March alone, but cost $3.02m over the full 35-month audit. The 7.5% variance reduction makes the 2023 call only partially correct.</x:v>
      </x:c>
      <x:c r="G16" s="437" t="str">
        <x:v>The hedge was insurance, not a profit engine: it saved $1.42m during the Jan-Jun 2026 shock and $7.76m in March alone, but cost $3.02m over the full 35-month audit. The 7.5% variance reduction makes the 2023 call only partially correct.</x:v>
      </x:c>
      <x:c r="H16" s="437" t="str">
        <x:v>The hedge was insurance, not a profit engine: it saved $1.42m during the Jan-Jun 2026 shock and $7.76m in March alone, but cost $3.02m over the full 35-month audit. The 7.5% variance reduction makes the 2023 call only partially correct.</x:v>
      </x:c>
      <x:c r="I16" s="437" t="str">
        <x:v>The hedge was insurance, not a profit engine: it saved $1.42m during the Jan-Jun 2026 shock and $7.76m in March alone, but cost $3.02m over the full 35-month audit. The 7.5% variance reduction makes the 2023 call only partially correct.</x:v>
      </x:c>
      <x:c r="J16" s="437" t="str">
        <x:v>The hedge was insurance, not a profit engine: it saved $1.42m during the Jan-Jun 2026 shock and $7.76m in March alone, but cost $3.02m over the full 35-month audit. The 7.5% variance reduction makes the 2023 call only partially correct.</x:v>
      </x:c>
      <x:c r="K16" s="437" t="str">
        <x:v>The hedge was insurance, not a profit engine: it saved $1.42m during the Jan-Jun 2026 shock and $7.76m in March alone, but cost $3.02m over the full 35-month audit. The 7.5% variance reduction makes the 2023 call only partially correct.</x:v>
      </x:c>
      <x:c r="L16" s="437" t="str">
        <x:v>The hedge was insurance, not a profit engine: it saved $1.42m during the Jan-Jun 2026 shock and $7.76m in March alone, but cost $3.02m over the full 35-month audit. The 7.5% variance reduction makes the 2023 call only partially correct.</x:v>
      </x:c>
      <x:c r="M16" s="438" t="str">
        <x:v>The hedge was insurance, not a profit engine: it saved $1.42m during the Jan-Jun 2026 shock and $7.76m in March alone, but cost $3.02m over the full 35-month audit. The 7.5% variance reduction makes the 2023 call only partially correct.</x:v>
      </x:c>
    </x:row>
    <x:row r="17">
      <x:c r="A17" s="458"/>
      <x:c r="B17" s="458"/>
      <x:c r="C17" s="458"/>
      <x:c r="D17" s="458"/>
      <x:c r="E17" s="458"/>
      <x:c r="F17" s="458"/>
      <x:c r="G17" s="458"/>
      <x:c r="H17" s="458"/>
      <x:c r="I17" s="458"/>
      <x:c r="J17" s="458"/>
      <x:c r="K17" s="458"/>
      <x:c r="L17" s="458"/>
      <x:c r="M17" s="458"/>
    </x:row>
    <x:row r="18">
      <x:c r="A18" s="458"/>
      <x:c r="B18" s="458"/>
      <x:c r="C18" s="458"/>
      <x:c r="D18" s="458"/>
      <x:c r="E18" s="458"/>
      <x:c r="F18" s="458"/>
      <x:c r="G18" s="458"/>
      <x:c r="H18" s="458"/>
      <x:c r="I18" s="458"/>
      <x:c r="J18" s="458"/>
      <x:c r="K18" s="458"/>
      <x:c r="L18" s="458"/>
      <x:c r="M18" s="458"/>
    </x:row>
    <x:row r="19">
      <x:c r="A19" s="12" t="str">
        <x:v>Month</x:v>
      </x:c>
      <x:c r="B19" s="12" t="str">
        <x:v>Unhedged</x:v>
      </x:c>
      <x:c r="C19" s="12" t="str">
        <x:v>Hybrid</x:v>
      </x:c>
      <x:c r="D19" s="458"/>
      <x:c r="E19" s="458"/>
      <x:c r="F19" s="458"/>
      <x:c r="G19" s="458"/>
      <x:c r="H19" s="458"/>
      <x:c r="I19" s="458"/>
      <x:c r="J19" s="458"/>
      <x:c r="K19" s="458"/>
      <x:c r="L19" s="458"/>
      <x:c r="M19" s="458"/>
    </x:row>
    <x:row r="20">
      <x:c r="A20" s="23" t="str">
        <x:f>TEXT('Audit Model'!A5,"mmm-yy")</x:f>
        <x:v>Aug-23</x:v>
      </x:c>
      <x:c r="B20" s="79" t="n">
        <x:f>'Audit Model'!D5</x:f>
        <x:v>3.006</x:v>
      </x:c>
      <x:c r="C20" s="91" t="n">
        <x:f>'Audit Model'!T5</x:f>
        <x:v>2.993011416155108</x:v>
      </x:c>
      <x:c r="D20" s="458"/>
      <x:c r="E20" s="458"/>
      <x:c r="F20" s="458"/>
      <x:c r="G20" s="458"/>
      <x:c r="H20" s="458"/>
      <x:c r="I20" s="458"/>
      <x:c r="J20" s="458"/>
      <x:c r="K20" s="458"/>
      <x:c r="L20" s="458"/>
      <x:c r="M20" s="458"/>
    </x:row>
    <x:row r="21">
      <x:c r="A21" s="26" t="str">
        <x:f>TEXT('Audit Model'!A6,"mmm-yy")</x:f>
        <x:v>Sep-23</x:v>
      </x:c>
      <x:c r="B21" s="80" t="n">
        <x:f>'Audit Model'!D6</x:f>
        <x:v>3.162</x:v>
      </x:c>
      <x:c r="C21" s="92" t="n">
        <x:f>'Audit Model'!T6</x:f>
        <x:v>3.071401224605496</x:v>
      </x:c>
      <x:c r="D21" s="458"/>
      <x:c r="E21" s="458"/>
      <x:c r="F21" s="458"/>
      <x:c r="G21" s="458"/>
      <x:c r="H21" s="458"/>
      <x:c r="I21" s="458"/>
      <x:c r="J21" s="458"/>
      <x:c r="K21" s="458"/>
      <x:c r="L21" s="458"/>
      <x:c r="M21" s="458"/>
    </x:row>
    <x:row r="22">
      <x:c r="A22" s="26" t="str">
        <x:f>TEXT('Audit Model'!A7,"mmm-yy")</x:f>
        <x:v>Oct-23</x:v>
      </x:c>
      <x:c r="B22" s="80" t="n">
        <x:f>'Audit Model'!D7</x:f>
        <x:v>2.869</x:v>
      </x:c>
      <x:c r="C22" s="92" t="n">
        <x:f>'Audit Model'!T7</x:f>
        <x:v>2.980891624061106</x:v>
      </x:c>
      <x:c r="D22" s="458"/>
      <x:c r="E22" s="458"/>
      <x:c r="F22" s="458"/>
      <x:c r="G22" s="458"/>
      <x:c r="H22" s="458"/>
      <x:c r="I22" s="458"/>
      <x:c r="J22" s="458"/>
      <x:c r="K22" s="458"/>
      <x:c r="L22" s="458"/>
      <x:c r="M22" s="458"/>
    </x:row>
    <x:row r="23">
      <x:c r="A23" s="26" t="str">
        <x:f>TEXT('Audit Model'!A8,"mmm-yy")</x:f>
        <x:v>Nov-23</x:v>
      </x:c>
      <x:c r="B23" s="80" t="n">
        <x:f>'Audit Model'!D8</x:f>
        <x:v>2.476</x:v>
      </x:c>
      <x:c r="C23" s="92" t="n">
        <x:f>'Audit Model'!T8</x:f>
        <x:v>2.5327425553211915</x:v>
      </x:c>
      <x:c r="D23" s="458"/>
      <x:c r="E23" s="458"/>
      <x:c r="F23" s="458"/>
      <x:c r="G23" s="458"/>
      <x:c r="H23" s="458"/>
      <x:c r="I23" s="458"/>
      <x:c r="J23" s="458"/>
      <x:c r="K23" s="458"/>
      <x:c r="L23" s="458"/>
      <x:c r="M23" s="458"/>
    </x:row>
    <x:row r="24">
      <x:c r="A24" s="26" t="str">
        <x:f>TEXT('Audit Model'!A9,"mmm-yy")</x:f>
        <x:v>Dec-23</x:v>
      </x:c>
      <x:c r="B24" s="80" t="n">
        <x:f>'Audit Model'!D9</x:f>
        <x:v>2.365</x:v>
      </x:c>
      <x:c r="C24" s="92" t="n">
        <x:f>'Audit Model'!T9</x:f>
        <x:v>2.4069487500136906</x:v>
      </x:c>
      <x:c r="D24" s="458"/>
      <x:c r="E24" s="458"/>
      <x:c r="F24" s="458"/>
      <x:c r="G24" s="458"/>
      <x:c r="H24" s="458"/>
      <x:c r="I24" s="458"/>
      <x:c r="J24" s="458"/>
      <x:c r="K24" s="458"/>
      <x:c r="L24" s="458"/>
      <x:c r="M24" s="458"/>
    </x:row>
    <x:row r="25">
      <x:c r="A25" s="26" t="str">
        <x:f>TEXT('Audit Model'!A10,"mmm-yy")</x:f>
        <x:v>Jan-24</x:v>
      </x:c>
      <x:c r="B25" s="80" t="n">
        <x:f>'Audit Model'!D10</x:f>
        <x:v>2.7</x:v>
      </x:c>
      <x:c r="C25" s="92" t="n">
        <x:f>'Audit Model'!T10</x:f>
        <x:v>2.6541405920445182</x:v>
      </x:c>
      <x:c r="D25" s="458"/>
      <x:c r="E25" s="458"/>
      <x:c r="F25" s="458"/>
      <x:c r="G25" s="458"/>
      <x:c r="H25" s="458"/>
      <x:c r="I25" s="458"/>
      <x:c r="J25" s="458"/>
      <x:c r="K25" s="458"/>
      <x:c r="L25" s="458"/>
      <x:c r="M25" s="458"/>
    </x:row>
    <x:row r="26">
      <x:c r="A26" s="26" t="str">
        <x:f>TEXT('Audit Model'!A11,"mmm-yy")</x:f>
        <x:v>Feb-24</x:v>
      </x:c>
      <x:c r="B26" s="80" t="n">
        <x:f>'Audit Model'!D11</x:f>
        <x:v>2.552</x:v>
      </x:c>
      <x:c r="C26" s="92" t="n">
        <x:f>'Audit Model'!T11</x:f>
        <x:v>2.542722371347713</x:v>
      </x:c>
      <x:c r="D26" s="458"/>
      <x:c r="E26" s="458"/>
      <x:c r="F26" s="458"/>
      <x:c r="G26" s="458"/>
      <x:c r="H26" s="458"/>
      <x:c r="I26" s="458"/>
      <x:c r="J26" s="458"/>
      <x:c r="K26" s="458"/>
      <x:c r="L26" s="458"/>
      <x:c r="M26" s="458"/>
    </x:row>
    <x:row r="27">
      <x:c r="A27" s="26" t="str">
        <x:f>TEXT('Audit Model'!A12,"mmm-yy")</x:f>
        <x:v>Mar-24</x:v>
      </x:c>
      <x:c r="B27" s="80" t="n">
        <x:f>'Audit Model'!D12</x:f>
        <x:v>2.526</x:v>
      </x:c>
      <x:c r="C27" s="92" t="n">
        <x:f>'Audit Model'!T12</x:f>
        <x:v>2.5165908893453146</x:v>
      </x:c>
      <x:c r="D27" s="458"/>
      <x:c r="E27" s="458"/>
      <x:c r="F27" s="458"/>
      <x:c r="G27" s="458"/>
      <x:c r="H27" s="458"/>
      <x:c r="I27" s="458"/>
      <x:c r="J27" s="458"/>
      <x:c r="K27" s="458"/>
      <x:c r="L27" s="458"/>
      <x:c r="M27" s="458"/>
    </x:row>
    <x:row r="28">
      <x:c r="A28" s="26" t="str">
        <x:f>TEXT('Audit Model'!A13,"mmm-yy")</x:f>
        <x:v>Apr-24</x:v>
      </x:c>
      <x:c r="B28" s="80" t="n">
        <x:f>'Audit Model'!D13</x:f>
        <x:v>2.47</x:v>
      </x:c>
      <x:c r="C28" s="92" t="n">
        <x:f>'Audit Model'!T13</x:f>
        <x:v>2.457352935644723</x:v>
      </x:c>
      <x:c r="D28" s="458"/>
      <x:c r="E28" s="458"/>
      <x:c r="F28" s="458"/>
      <x:c r="G28" s="458"/>
      <x:c r="H28" s="458"/>
      <x:c r="I28" s="458"/>
      <x:c r="J28" s="458"/>
      <x:c r="K28" s="458"/>
      <x:c r="L28" s="458"/>
      <x:c r="M28" s="458"/>
    </x:row>
    <x:row r="29">
      <x:c r="A29" s="26" t="str">
        <x:f>TEXT('Audit Model'!A14,"mmm-yy")</x:f>
        <x:v>May-24</x:v>
      </x:c>
      <x:c r="B29" s="80" t="n">
        <x:f>'Audit Model'!D14</x:f>
        <x:v>2.291</x:v>
      </x:c>
      <x:c r="C29" s="92" t="n">
        <x:f>'Audit Model'!T14</x:f>
        <x:v>2.4007636455824444</x:v>
      </x:c>
      <x:c r="D29" s="458"/>
      <x:c r="E29" s="458"/>
      <x:c r="F29" s="458"/>
      <x:c r="G29" s="458"/>
      <x:c r="H29" s="458"/>
      <x:c r="I29" s="458"/>
      <x:c r="J29" s="458"/>
      <x:c r="K29" s="458"/>
      <x:c r="L29" s="458"/>
      <x:c r="M29" s="458"/>
    </x:row>
    <x:row r="30">
      <x:c r="A30" s="26" t="str">
        <x:f>TEXT('Audit Model'!A15,"mmm-yy")</x:f>
        <x:v>Jun-24</x:v>
      </x:c>
      <x:c r="B30" s="80" t="n">
        <x:f>'Audit Model'!D15</x:f>
        <x:v>2.467</x:v>
      </x:c>
      <x:c r="C30" s="92" t="n">
        <x:f>'Audit Model'!T15</x:f>
        <x:v>2.3836656211821596</x:v>
      </x:c>
      <x:c r="D30" s="458"/>
      <x:c r="E30" s="458"/>
      <x:c r="F30" s="458"/>
      <x:c r="G30" s="458"/>
      <x:c r="H30" s="458"/>
      <x:c r="I30" s="458"/>
      <x:c r="J30" s="458"/>
      <x:c r="K30" s="458"/>
      <x:c r="L30" s="458"/>
      <x:c r="M30" s="458"/>
    </x:row>
    <x:row r="31">
      <x:c r="A31" s="26" t="str">
        <x:f>TEXT('Audit Model'!A16,"mmm-yy")</x:f>
        <x:v>Jul-24</x:v>
      </x:c>
      <x:c r="B31" s="80" t="n">
        <x:f>'Audit Model'!D16</x:f>
        <x:v>2.28</x:v>
      </x:c>
      <x:c r="C31" s="92" t="n">
        <x:f>'Audit Model'!T16</x:f>
        <x:v>2.3475302288947524</x:v>
      </x:c>
      <x:c r="D31" s="458"/>
      <x:c r="E31" s="458"/>
      <x:c r="F31" s="458"/>
      <x:c r="G31" s="458"/>
      <x:c r="H31" s="458"/>
      <x:c r="I31" s="458"/>
      <x:c r="J31" s="458"/>
      <x:c r="K31" s="458"/>
      <x:c r="L31" s="458"/>
      <x:c r="M31" s="458"/>
    </x:row>
    <x:row r="32">
      <x:c r="A32" s="26" t="str">
        <x:f>TEXT('Audit Model'!A17,"mmm-yy")</x:f>
        <x:v>Aug-24</x:v>
      </x:c>
      <x:c r="B32" s="80" t="n">
        <x:f>'Audit Model'!D17</x:f>
        <x:v>2.127</x:v>
      </x:c>
      <x:c r="C32" s="92" t="n">
        <x:f>'Audit Model'!T17</x:f>
        <x:v>2.140781167100521</x:v>
      </x:c>
      <x:c r="D32" s="458"/>
      <x:c r="E32" s="458"/>
      <x:c r="F32" s="458"/>
      <x:c r="G32" s="458"/>
      <x:c r="H32" s="458"/>
      <x:c r="I32" s="458"/>
      <x:c r="J32" s="458"/>
      <x:c r="K32" s="458"/>
      <x:c r="L32" s="458"/>
      <x:c r="M32" s="458"/>
    </x:row>
    <x:row r="33">
      <x:c r="A33" s="26" t="str">
        <x:f>TEXT('Audit Model'!A18,"mmm-yy")</x:f>
        <x:v>Sep-24</x:v>
      </x:c>
      <x:c r="B33" s="80" t="n">
        <x:f>'Audit Model'!D18</x:f>
        <x:v>1.968</x:v>
      </x:c>
      <x:c r="C33" s="92" t="n">
        <x:f>'Audit Model'!T18</x:f>
        <x:v>2.0656334540260337</x:v>
      </x:c>
      <x:c r="D33" s="458"/>
      <x:c r="E33" s="458"/>
      <x:c r="F33" s="458"/>
      <x:c r="G33" s="458"/>
      <x:c r="H33" s="458"/>
      <x:c r="I33" s="458"/>
      <x:c r="J33" s="458"/>
      <x:c r="K33" s="458"/>
      <x:c r="L33" s="458"/>
      <x:c r="M33" s="458"/>
    </x:row>
    <x:row r="34">
      <x:c r="A34" s="26" t="str">
        <x:f>TEXT('Audit Model'!A19,"mmm-yy")</x:f>
        <x:v>Oct-24</x:v>
      </x:c>
      <x:c r="B34" s="80" t="n">
        <x:f>'Audit Model'!D19</x:f>
        <x:v>2.076</x:v>
      </x:c>
      <x:c r="C34" s="92" t="n">
        <x:f>'Audit Model'!T19</x:f>
        <x:v>2.071927798230216</x:v>
      </x:c>
      <x:c r="D34" s="458"/>
      <x:c r="E34" s="458"/>
      <x:c r="F34" s="458"/>
      <x:c r="G34" s="458"/>
      <x:c r="H34" s="458"/>
      <x:c r="I34" s="458"/>
      <x:c r="J34" s="458"/>
      <x:c r="K34" s="458"/>
      <x:c r="L34" s="458"/>
      <x:c r="M34" s="458"/>
    </x:row>
    <x:row r="35">
      <x:c r="A35" s="26" t="str">
        <x:f>TEXT('Audit Model'!A20,"mmm-yy")</x:f>
        <x:v>Nov-24</x:v>
      </x:c>
      <x:c r="B35" s="80" t="n">
        <x:f>'Audit Model'!D20</x:f>
        <x:v>2.04</x:v>
      </x:c>
      <x:c r="C35" s="92" t="n">
        <x:f>'Audit Model'!T20</x:f>
        <x:v>2.0356292898668187</x:v>
      </x:c>
      <x:c r="D35" s="458"/>
      <x:c r="E35" s="458"/>
      <x:c r="F35" s="458"/>
      <x:c r="G35" s="458"/>
      <x:c r="H35" s="458"/>
      <x:c r="I35" s="458"/>
      <x:c r="J35" s="458"/>
      <x:c r="K35" s="458"/>
      <x:c r="L35" s="458"/>
      <x:c r="M35" s="458"/>
    </x:row>
    <x:row r="36">
      <x:c r="A36" s="26" t="str">
        <x:f>TEXT('Audit Model'!A21,"mmm-yy")</x:f>
        <x:v>Dec-24</x:v>
      </x:c>
      <x:c r="B36" s="80" t="n">
        <x:f>'Audit Model'!D21</x:f>
        <x:v>2.228</x:v>
      </x:c>
      <x:c r="C36" s="92" t="n">
        <x:f>'Audit Model'!T21</x:f>
        <x:v>2.2279596241452655</x:v>
      </x:c>
      <x:c r="D36" s="458"/>
      <x:c r="E36" s="458"/>
      <x:c r="F36" s="458"/>
      <x:c r="G36" s="458"/>
      <x:c r="H36" s="458"/>
      <x:c r="I36" s="458"/>
      <x:c r="J36" s="458"/>
      <x:c r="K36" s="458"/>
      <x:c r="L36" s="458"/>
      <x:c r="M36" s="458"/>
    </x:row>
    <x:row r="37">
      <x:c r="A37" s="26" t="str">
        <x:f>TEXT('Audit Model'!A22,"mmm-yy")</x:f>
        <x:v>Jan-25</x:v>
      </x:c>
      <x:c r="B37" s="80" t="n">
        <x:f>'Audit Model'!D22</x:f>
        <x:v>2.302</x:v>
      </x:c>
      <x:c r="C37" s="92" t="n">
        <x:f>'Audit Model'!T22</x:f>
        <x:v>2.284219060455339</x:v>
      </x:c>
      <x:c r="D37" s="458"/>
      <x:c r="E37" s="458"/>
      <x:c r="F37" s="458"/>
      <x:c r="G37" s="458"/>
      <x:c r="H37" s="458"/>
      <x:c r="I37" s="458"/>
      <x:c r="J37" s="458"/>
      <x:c r="K37" s="458"/>
      <x:c r="L37" s="458"/>
      <x:c r="M37" s="458"/>
    </x:row>
    <x:row r="38">
      <x:c r="A38" s="26" t="str">
        <x:f>TEXT('Audit Model'!A23,"mmm-yy")</x:f>
        <x:v>Feb-25</x:v>
      </x:c>
      <x:c r="B38" s="80" t="n">
        <x:f>'Audit Model'!D23</x:f>
        <x:v>2.145</x:v>
      </x:c>
      <x:c r="C38" s="92" t="n">
        <x:f>'Audit Model'!T23</x:f>
        <x:v>2.167488973446536</x:v>
      </x:c>
      <x:c r="D38" s="458"/>
      <x:c r="E38" s="458"/>
      <x:c r="F38" s="458"/>
      <x:c r="G38" s="458"/>
      <x:c r="H38" s="458"/>
      <x:c r="I38" s="458"/>
      <x:c r="J38" s="458"/>
      <x:c r="K38" s="458"/>
      <x:c r="L38" s="458"/>
      <x:c r="M38" s="458"/>
    </x:row>
    <x:row r="39">
      <x:c r="A39" s="26" t="str">
        <x:f>TEXT('Audit Model'!A24,"mmm-yy")</x:f>
        <x:v>Mar-25</x:v>
      </x:c>
      <x:c r="B39" s="80" t="n">
        <x:f>'Audit Model'!D24</x:f>
        <x:v>2.135</x:v>
      </x:c>
      <x:c r="C39" s="92" t="n">
        <x:f>'Audit Model'!T24</x:f>
        <x:v>2.117711272061461</x:v>
      </x:c>
      <x:c r="D39" s="458"/>
      <x:c r="E39" s="12" t="str">
        <x:v>Strategy</x:v>
      </x:c>
      <x:c r="F39" s="12" t="str">
        <x:v>Savings vs unhedged</x:v>
      </x:c>
      <x:c r="G39" s="458"/>
      <x:c r="H39" s="458"/>
      <x:c r="I39" s="458"/>
      <x:c r="J39" s="458"/>
      <x:c r="K39" s="458"/>
      <x:c r="L39" s="458"/>
      <x:c r="M39" s="458"/>
    </x:row>
    <x:row r="40">
      <x:c r="A40" s="26" t="str">
        <x:f>TEXT('Audit Model'!A25,"mmm-yy")</x:f>
        <x:v>Apr-25</x:v>
      </x:c>
      <x:c r="B40" s="80" t="n">
        <x:f>'Audit Model'!D25</x:f>
        <x:v>1.909</x:v>
      </x:c>
      <x:c r="C40" s="92" t="n">
        <x:f>'Audit Model'!T25</x:f>
        <x:v>2.0931783565539774</x:v>
      </x:c>
      <x:c r="D40" s="458"/>
      <x:c r="E40" s="23" t="str">
        <x:v>Unhedged</x:v>
      </x:c>
      <x:c r="F40" s="452" t="n">
        <x:f>0</x:f>
        <x:v>0</x:v>
      </x:c>
      <x:c r="G40" s="458"/>
      <x:c r="H40" s="458"/>
      <x:c r="I40" s="458"/>
      <x:c r="J40" s="458"/>
      <x:c r="K40" s="458"/>
      <x:c r="L40" s="458"/>
      <x:c r="M40" s="458"/>
    </x:row>
    <x:row r="41">
      <x:c r="A41" s="26" t="str">
        <x:f>TEXT('Audit Model'!A26,"mmm-yy")</x:f>
        <x:v>May-25</x:v>
      </x:c>
      <x:c r="B41" s="80" t="n">
        <x:f>'Audit Model'!D26</x:f>
        <x:v>1.846</x:v>
      </x:c>
      <x:c r="C41" s="92" t="n">
        <x:f>'Audit Model'!T26</x:f>
        <x:v>1.840878740744836</x:v>
      </x:c>
      <x:c r="D41" s="458"/>
      <x:c r="E41" s="26" t="str">
        <x:v>Futures</x:v>
      </x:c>
      <x:c r="F41" s="453" t="n">
        <x:f>'Audit Model'!Y6-'Audit Model'!Y7</x:f>
        <x:v>-5655770.103361249</x:v>
      </x:c>
      <x:c r="G41" s="458"/>
      <x:c r="H41" s="458"/>
      <x:c r="I41" s="458"/>
      <x:c r="J41" s="458"/>
      <x:c r="K41" s="458"/>
      <x:c r="L41" s="458"/>
      <x:c r="M41" s="458"/>
    </x:row>
    <x:row r="42">
      <x:c r="A42" s="26" t="str">
        <x:f>TEXT('Audit Model'!A27,"mmm-yy")</x:f>
        <x:v>Jun-25</x:v>
      </x:c>
      <x:c r="B42" s="80" t="n">
        <x:f>'Audit Model'!D27</x:f>
        <x:v>2.177</x:v>
      </x:c>
      <x:c r="C42" s="92" t="n">
        <x:f>'Audit Model'!T27</x:f>
        <x:v>2.1458269798783176</x:v>
      </x:c>
      <x:c r="D42" s="458"/>
      <x:c r="E42" s="26" t="str">
        <x:v>Long call</x:v>
      </x:c>
      <x:c r="F42" s="453" t="n">
        <x:f>'Audit Model'!Y6-'Audit Model'!Y8</x:f>
        <x:v>-2065238.9063560963</x:v>
      </x:c>
      <x:c r="G42" s="458"/>
      <x:c r="H42" s="458"/>
      <x:c r="I42" s="458"/>
      <x:c r="J42" s="458"/>
      <x:c r="K42" s="458"/>
      <x:c r="L42" s="458"/>
      <x:c r="M42" s="458"/>
    </x:row>
    <x:row r="43">
      <x:c r="A43" s="26" t="str">
        <x:f>TEXT('Audit Model'!A28,"mmm-yy")</x:f>
        <x:v>Jul-25</x:v>
      </x:c>
      <x:c r="B43" s="80" t="n">
        <x:f>'Audit Model'!D28</x:f>
        <x:v>2.148</x:v>
      </x:c>
      <x:c r="C43" s="92" t="n">
        <x:f>'Audit Model'!T28</x:f>
        <x:v>2.097156142824776</x:v>
      </x:c>
      <x:c r="D43" s="458"/>
      <x:c r="E43" s="26" t="str">
        <x:v>Collar</x:v>
      </x:c>
      <x:c r="F43" s="453" t="n">
        <x:f>'Audit Model'!Y6-'Audit Model'!Y9</x:f>
        <x:v>-2522791.092912674</x:v>
      </x:c>
      <x:c r="G43" s="458"/>
      <x:c r="H43" s="458"/>
      <x:c r="I43" s="458"/>
      <x:c r="J43" s="458"/>
      <x:c r="K43" s="458"/>
      <x:c r="L43" s="458"/>
      <x:c r="M43" s="458"/>
    </x:row>
    <x:row r="44">
      <x:c r="A44" s="26" t="str">
        <x:f>TEXT('Audit Model'!A29,"mmm-yy")</x:f>
        <x:v>Aug-25</x:v>
      </x:c>
      <x:c r="B44" s="80" t="n">
        <x:f>'Audit Model'!D29</x:f>
        <x:v>2.02</x:v>
      </x:c>
      <x:c r="C44" s="92" t="n">
        <x:f>'Audit Model'!T29</x:f>
        <x:v>2.0854701381450345</x:v>
      </x:c>
      <x:c r="D44" s="458"/>
      <x:c r="E44" s="29" t="str">
        <x:v>Hybrid</x:v>
      </x:c>
      <x:c r="F44" s="454" t="n">
        <x:f>'Audit Model'!Y11</x:f>
        <x:v>-3019145.3692184687</x:v>
      </x:c>
      <x:c r="G44" s="458"/>
      <x:c r="H44" s="458"/>
      <x:c r="I44" s="458"/>
      <x:c r="J44" s="458"/>
      <x:c r="K44" s="458"/>
      <x:c r="L44" s="458"/>
      <x:c r="M44" s="458"/>
    </x:row>
    <x:row r="45">
      <x:c r="A45" s="26" t="str">
        <x:f>TEXT('Audit Model'!A30,"mmm-yy")</x:f>
        <x:v>Sep-25</x:v>
      </x:c>
      <x:c r="B45" s="80" t="n">
        <x:f>'Audit Model'!D30</x:f>
        <x:v>2.076</x:v>
      </x:c>
      <x:c r="C45" s="92" t="n">
        <x:f>'Audit Model'!T30</x:f>
        <x:v>2.0733297513878295</x:v>
      </x:c>
      <x:c r="D45" s="458"/>
      <x:c r="E45" s="458"/>
      <x:c r="F45" s="458"/>
      <x:c r="G45" s="458"/>
      <x:c r="H45" s="458"/>
      <x:c r="I45" s="458"/>
      <x:c r="J45" s="458"/>
      <x:c r="K45" s="458"/>
      <x:c r="L45" s="458"/>
      <x:c r="M45" s="458"/>
    </x:row>
    <x:row r="46">
      <x:c r="A46" s="26" t="str">
        <x:f>TEXT('Audit Model'!A31,"mmm-yy")</x:f>
        <x:v>Oct-25</x:v>
      </x:c>
      <x:c r="B46" s="80" t="n">
        <x:f>'Audit Model'!D31</x:f>
        <x:v>2.245</x:v>
      </x:c>
      <x:c r="C46" s="92" t="n">
        <x:f>'Audit Model'!T31</x:f>
        <x:v>2.2750371950952473</x:v>
      </x:c>
      <x:c r="D46" s="458"/>
      <x:c r="E46" s="458"/>
      <x:c r="F46" s="458"/>
      <x:c r="G46" s="458"/>
      <x:c r="H46" s="458"/>
      <x:c r="I46" s="458"/>
      <x:c r="J46" s="458"/>
      <x:c r="K46" s="458"/>
      <x:c r="L46" s="458"/>
      <x:c r="M46" s="458"/>
    </x:row>
    <x:row r="47">
      <x:c r="A47" s="26" t="str">
        <x:f>TEXT('Audit Model'!A32,"mmm-yy")</x:f>
        <x:v>Nov-25</x:v>
      </x:c>
      <x:c r="B47" s="80" t="n">
        <x:f>'Audit Model'!D32</x:f>
        <x:v>2.05</x:v>
      </x:c>
      <x:c r="C47" s="92" t="n">
        <x:f>'Audit Model'!T32</x:f>
        <x:v>2.063914112793936</x:v>
      </x:c>
      <x:c r="D47" s="458"/>
      <x:c r="E47" s="458"/>
      <x:c r="F47" s="458"/>
      <x:c r="G47" s="458"/>
      <x:c r="H47" s="458"/>
      <x:c r="I47" s="458"/>
      <x:c r="J47" s="458"/>
      <x:c r="K47" s="458"/>
      <x:c r="L47" s="458"/>
      <x:c r="M47" s="458"/>
    </x:row>
    <x:row r="48">
      <x:c r="A48" s="26" t="str">
        <x:f>TEXT('Audit Model'!A33,"mmm-yy")</x:f>
        <x:v>Dec-25</x:v>
      </x:c>
      <x:c r="B48" s="80" t="n">
        <x:f>'Audit Model'!D33</x:f>
        <x:v>1.911</x:v>
      </x:c>
      <x:c r="C48" s="92" t="n">
        <x:f>'Audit Model'!T33</x:f>
        <x:v>1.9369696971837325</x:v>
      </x:c>
      <x:c r="D48" s="458"/>
      <x:c r="E48" s="458"/>
      <x:c r="F48" s="458"/>
      <x:c r="G48" s="458"/>
      <x:c r="H48" s="458"/>
      <x:c r="I48" s="458"/>
      <x:c r="J48" s="458"/>
      <x:c r="K48" s="458"/>
      <x:c r="L48" s="458"/>
      <x:c r="M48" s="458"/>
    </x:row>
    <x:row r="49">
      <x:c r="A49" s="26" t="str">
        <x:f>TEXT('Audit Model'!A34,"mmm-yy")</x:f>
        <x:v>Jan-26</x:v>
      </x:c>
      <x:c r="B49" s="80" t="n">
        <x:f>'Audit Model'!D34</x:f>
        <x:v>2.277</x:v>
      </x:c>
      <x:c r="C49" s="92" t="n">
        <x:f>'Audit Model'!T34</x:f>
        <x:v>2.1416670498971184</x:v>
      </x:c>
      <x:c r="D49" s="458"/>
      <x:c r="E49" s="458"/>
      <x:c r="F49" s="458"/>
      <x:c r="G49" s="458"/>
      <x:c r="H49" s="458"/>
      <x:c r="I49" s="458"/>
      <x:c r="J49" s="458"/>
      <x:c r="K49" s="458"/>
      <x:c r="L49" s="458"/>
      <x:c r="M49" s="458"/>
    </x:row>
    <x:row r="50">
      <x:c r="A50" s="26" t="str">
        <x:f>TEXT('Audit Model'!A35,"mmm-yy")</x:f>
        <x:v>Feb-26</x:v>
      </x:c>
      <x:c r="B50" s="80" t="n">
        <x:f>'Audit Model'!D35</x:f>
        <x:v>2.428</x:v>
      </x:c>
      <x:c r="C50" s="92" t="n">
        <x:f>'Audit Model'!T35</x:f>
        <x:v>2.438287465495251</x:v>
      </x:c>
      <x:c r="D50" s="458"/>
      <x:c r="E50" s="458"/>
      <x:c r="F50" s="458"/>
      <x:c r="G50" s="458"/>
      <x:c r="H50" s="458"/>
      <x:c r="I50" s="458"/>
      <x:c r="J50" s="458"/>
      <x:c r="K50" s="458"/>
      <x:c r="L50" s="458"/>
      <x:c r="M50" s="458"/>
    </x:row>
    <x:row r="51">
      <x:c r="A51" s="26" t="str">
        <x:f>TEXT('Audit Model'!A36,"mmm-yy")</x:f>
        <x:v>Mar-26</x:v>
      </x:c>
      <x:c r="B51" s="80" t="n">
        <x:f>'Audit Model'!D36</x:f>
        <x:v>3.965</x:v>
      </x:c>
      <x:c r="C51" s="92" t="n">
        <x:f>'Audit Model'!T36</x:f>
        <x:v>3.1885614989248783</x:v>
      </x:c>
      <x:c r="D51" s="458"/>
      <x:c r="E51" s="458"/>
      <x:c r="F51" s="458"/>
      <x:c r="G51" s="458"/>
      <x:c r="H51" s="458"/>
      <x:c r="I51" s="458"/>
      <x:c r="J51" s="458"/>
      <x:c r="K51" s="458"/>
      <x:c r="L51" s="458"/>
      <x:c r="M51" s="458"/>
    </x:row>
    <x:row r="52">
      <x:c r="A52" s="26" t="str">
        <x:f>TEXT('Audit Model'!A37,"mmm-yy")</x:f>
        <x:v>Apr-26</x:v>
      </x:c>
      <x:c r="B52" s="80" t="n">
        <x:f>'Audit Model'!D37</x:f>
        <x:v>4.287</x:v>
      </x:c>
      <x:c r="C52" s="92" t="n">
        <x:f>'Audit Model'!T37</x:f>
        <x:v>4.311404055642</x:v>
      </x:c>
      <x:c r="D52" s="458"/>
      <x:c r="E52" s="458"/>
      <x:c r="F52" s="458"/>
      <x:c r="G52" s="458"/>
      <x:c r="H52" s="458"/>
      <x:c r="I52" s="458"/>
      <x:c r="J52" s="458"/>
      <x:c r="K52" s="458"/>
      <x:c r="L52" s="458"/>
      <x:c r="M52" s="458"/>
    </x:row>
    <x:row r="53">
      <x:c r="A53" s="26" t="str">
        <x:f>TEXT('Audit Model'!A38,"mmm-yy")</x:f>
        <x:v>May-26</x:v>
      </x:c>
      <x:c r="B53" s="80" t="n">
        <x:f>'Audit Model'!D38</x:f>
        <x:v>3.237</x:v>
      </x:c>
      <x:c r="C53" s="92" t="n">
        <x:f>'Audit Model'!T38</x:f>
        <x:v>3.666226293929554</x:v>
      </x:c>
      <x:c r="D53" s="458"/>
      <x:c r="E53" s="458"/>
      <x:c r="F53" s="458"/>
      <x:c r="G53" s="458"/>
      <x:c r="H53" s="458"/>
      <x:c r="I53" s="458"/>
      <x:c r="J53" s="458"/>
      <x:c r="K53" s="458"/>
      <x:c r="L53" s="458"/>
      <x:c r="M53" s="458"/>
    </x:row>
    <x:row r="54">
      <x:c r="A54" s="29" t="str">
        <x:f>TEXT('Audit Model'!A39,"mmm-yy")</x:f>
        <x:v>Jun-26</x:v>
      </x:c>
      <x:c r="B54" s="81" t="n">
        <x:f>'Audit Model'!D39</x:f>
        <x:v>2.867</x:v>
      </x:c>
      <x:c r="C54" s="93" t="n">
        <x:f>'Audit Model'!T39</x:f>
        <x:v>3.1728945648949454</x:v>
      </x:c>
      <x:c r="D54" s="458"/>
      <x:c r="E54" s="458"/>
      <x:c r="F54" s="458"/>
      <x:c r="G54" s="458"/>
      <x:c r="H54" s="458"/>
      <x:c r="I54" s="458"/>
      <x:c r="J54" s="458"/>
      <x:c r="K54" s="458"/>
      <x:c r="L54" s="458"/>
      <x:c r="M54" s="458"/>
    </x:row>
    <x:row r="55">
      <x:c r="A55" s="458"/>
      <x:c r="B55" s="458"/>
      <x:c r="C55" s="458"/>
      <x:c r="D55" s="458"/>
      <x:c r="E55" s="458"/>
      <x:c r="F55" s="458"/>
      <x:c r="G55" s="458"/>
      <x:c r="H55" s="458"/>
      <x:c r="I55" s="458"/>
      <x:c r="J55" s="458"/>
      <x:c r="K55" s="458"/>
      <x:c r="L55" s="458"/>
      <x:c r="M55" s="458"/>
    </x:row>
    <x:row r="56">
      <x:c r="A56" s="457" t="str">
        <x:v>Current ticket: hedge 70% of policy volume using 104 long Brent futures and 78 zero-cost collars. Collar legs: buy the $96.72 call / sell the $88.24 put. Leave 30% unhedged. Illustrative only; confirm live quotes, basis, liquidity, and airline governance before execution.</x:v>
      </x:c>
      <x:c r="B56" s="457" t="str">
        <x:v>Current ticket: hedge 70% of policy volume using 104 long Brent futures and 78 zero-cost collars. Collar legs: buy the $96.72 call / sell the $88.24 put. Leave 30% unhedged. Illustrative only; confirm live quotes, basis, liquidity, and airline governance before execution.</x:v>
      </x:c>
      <x:c r="C56" s="457" t="str">
        <x:v>Current ticket: hedge 70% of policy volume using 104 long Brent futures and 78 zero-cost collars. Collar legs: buy the $96.72 call / sell the $88.24 put. Leave 30% unhedged. Illustrative only; confirm live quotes, basis, liquidity, and airline governance before execution.</x:v>
      </x:c>
      <x:c r="D56" s="457" t="str">
        <x:v>Current ticket: hedge 70% of policy volume using 104 long Brent futures and 78 zero-cost collars. Collar legs: buy the $96.72 call / sell the $88.24 put. Leave 30% unhedged. Illustrative only; confirm live quotes, basis, liquidity, and airline governance before execution.</x:v>
      </x:c>
      <x:c r="E56" s="457" t="str">
        <x:v>Current ticket: hedge 70% of policy volume using 104 long Brent futures and 78 zero-cost collars. Collar legs: buy the $96.72 call / sell the $88.24 put. Leave 30% unhedged. Illustrative only; confirm live quotes, basis, liquidity, and airline governance before execution.</x:v>
      </x:c>
      <x:c r="F56" s="457" t="str">
        <x:v>Current ticket: hedge 70% of policy volume using 104 long Brent futures and 78 zero-cost collars. Collar legs: buy the $96.72 call / sell the $88.24 put. Leave 30% unhedged. Illustrative only; confirm live quotes, basis, liquidity, and airline governance before execution.</x:v>
      </x:c>
      <x:c r="G56" s="457" t="str">
        <x:v>Current ticket: hedge 70% of policy volume using 104 long Brent futures and 78 zero-cost collars. Collar legs: buy the $96.72 call / sell the $88.24 put. Leave 30% unhedged. Illustrative only; confirm live quotes, basis, liquidity, and airline governance before execution.</x:v>
      </x:c>
      <x:c r="H56" s="457" t="str">
        <x:v>Current ticket: hedge 70% of policy volume using 104 long Brent futures and 78 zero-cost collars. Collar legs: buy the $96.72 call / sell the $88.24 put. Leave 30% unhedged. Illustrative only; confirm live quotes, basis, liquidity, and airline governance before execution.</x:v>
      </x:c>
      <x:c r="I56" s="457" t="str">
        <x:v>Current ticket: hedge 70% of policy volume using 104 long Brent futures and 78 zero-cost collars. Collar legs: buy the $96.72 call / sell the $88.24 put. Leave 30% unhedged. Illustrative only; confirm live quotes, basis, liquidity, and airline governance before execution.</x:v>
      </x:c>
      <x:c r="J56" s="457" t="str">
        <x:v>Current ticket: hedge 70% of policy volume using 104 long Brent futures and 78 zero-cost collars. Collar legs: buy the $96.72 call / sell the $88.24 put. Leave 30% unhedged. Illustrative only; confirm live quotes, basis, liquidity, and airline governance before execution.</x:v>
      </x:c>
      <x:c r="K56" s="457" t="str">
        <x:v>Current ticket: hedge 70% of policy volume using 104 long Brent futures and 78 zero-cost collars. Collar legs: buy the $96.72 call / sell the $88.24 put. Leave 30% unhedged. Illustrative only; confirm live quotes, basis, liquidity, and airline governance before execution.</x:v>
      </x:c>
      <x:c r="L56" s="457" t="str">
        <x:v>Current ticket: hedge 70% of policy volume using 104 long Brent futures and 78 zero-cost collars. Collar legs: buy the $96.72 call / sell the $88.24 put. Leave 30% unhedged. Illustrative only; confirm live quotes, basis, liquidity, and airline governance before execution.</x:v>
      </x:c>
      <x:c r="M56" s="457" t="str">
        <x:v>Current ticket: hedge 70% of policy volume using 104 long Brent futures and 78 zero-cost collars. Collar legs: buy the $96.72 call / sell the $88.24 put. Leave 30% unhedged. Illustrative only; confirm live quotes, basis, liquidity, and airline governance before execution.</x:v>
      </x:c>
    </x:row>
    <x:row r="57">
      <x:c r="A57" s="457" t="str">
        <x:v>Current ticket: hedge 70% of policy volume using 104 long Brent futures and 78 zero-cost collars. Collar legs: buy the $96.72 call / sell the $88.24 put. Leave 30% unhedged. Illustrative only; confirm live quotes, basis, liquidity, and airline governance before execution.</x:v>
      </x:c>
      <x:c r="B57" s="457" t="str">
        <x:v>Current ticket: hedge 70% of policy volume using 104 long Brent futures and 78 zero-cost collars. Collar legs: buy the $96.72 call / sell the $88.24 put. Leave 30% unhedged. Illustrative only; confirm live quotes, basis, liquidity, and airline governance before execution.</x:v>
      </x:c>
      <x:c r="C57" s="457" t="str">
        <x:v>Current ticket: hedge 70% of policy volume using 104 long Brent futures and 78 zero-cost collars. Collar legs: buy the $96.72 call / sell the $88.24 put. Leave 30% unhedged. Illustrative only; confirm live quotes, basis, liquidity, and airline governance before execution.</x:v>
      </x:c>
      <x:c r="D57" s="457" t="str">
        <x:v>Current ticket: hedge 70% of policy volume using 104 long Brent futures and 78 zero-cost collars. Collar legs: buy the $96.72 call / sell the $88.24 put. Leave 30% unhedged. Illustrative only; confirm live quotes, basis, liquidity, and airline governance before execution.</x:v>
      </x:c>
      <x:c r="E57" s="457" t="str">
        <x:v>Current ticket: hedge 70% of policy volume using 104 long Brent futures and 78 zero-cost collars. Collar legs: buy the $96.72 call / sell the $88.24 put. Leave 30% unhedged. Illustrative only; confirm live quotes, basis, liquidity, and airline governance before execution.</x:v>
      </x:c>
      <x:c r="F57" s="457" t="str">
        <x:v>Current ticket: hedge 70% of policy volume using 104 long Brent futures and 78 zero-cost collars. Collar legs: buy the $96.72 call / sell the $88.24 put. Leave 30% unhedged. Illustrative only; confirm live quotes, basis, liquidity, and airline governance before execution.</x:v>
      </x:c>
      <x:c r="G57" s="457" t="str">
        <x:v>Current ticket: hedge 70% of policy volume using 104 long Brent futures and 78 zero-cost collars. Collar legs: buy the $96.72 call / sell the $88.24 put. Leave 30% unhedged. Illustrative only; confirm live quotes, basis, liquidity, and airline governance before execution.</x:v>
      </x:c>
      <x:c r="H57" s="457" t="str">
        <x:v>Current ticket: hedge 70% of policy volume using 104 long Brent futures and 78 zero-cost collars. Collar legs: buy the $96.72 call / sell the $88.24 put. Leave 30% unhedged. Illustrative only; confirm live quotes, basis, liquidity, and airline governance before execution.</x:v>
      </x:c>
      <x:c r="I57" s="457" t="str">
        <x:v>Current ticket: hedge 70% of policy volume using 104 long Brent futures and 78 zero-cost collars. Collar legs: buy the $96.72 call / sell the $88.24 put. Leave 30% unhedged. Illustrative only; confirm live quotes, basis, liquidity, and airline governance before execution.</x:v>
      </x:c>
      <x:c r="J57" s="457" t="str">
        <x:v>Current ticket: hedge 70% of policy volume using 104 long Brent futures and 78 zero-cost collars. Collar legs: buy the $96.72 call / sell the $88.24 put. Leave 30% unhedged. Illustrative only; confirm live quotes, basis, liquidity, and airline governance before execution.</x:v>
      </x:c>
      <x:c r="K57" s="457" t="str">
        <x:v>Current ticket: hedge 70% of policy volume using 104 long Brent futures and 78 zero-cost collars. Collar legs: buy the $96.72 call / sell the $88.24 put. Leave 30% unhedged. Illustrative only; confirm live quotes, basis, liquidity, and airline governance before execution.</x:v>
      </x:c>
      <x:c r="L57" s="457" t="str">
        <x:v>Current ticket: hedge 70% of policy volume using 104 long Brent futures and 78 zero-cost collars. Collar legs: buy the $96.72 call / sell the $88.24 put. Leave 30% unhedged. Illustrative only; confirm live quotes, basis, liquidity, and airline governance before execution.</x:v>
      </x:c>
      <x:c r="M57" s="457" t="str">
        <x:v>Current ticket: hedge 70% of policy volume using 104 long Brent futures and 78 zero-cost collars. Collar legs: buy the $96.72 call / sell the $88.24 put. Leave 30% unhedged. Illustrative only; confirm live quotes, basis, liquidity, and airline governance before execution.</x:v>
      </x:c>
    </x:row>
    <x:row r="58">
      <x:c r="A58" s="457" t="str">
        <x:v>Current ticket: hedge 70% of policy volume using 104 long Brent futures and 78 zero-cost collars. Collar legs: buy the $96.72 call / sell the $88.24 put. Leave 30% unhedged. Illustrative only; confirm live quotes, basis, liquidity, and airline governance before execution.</x:v>
      </x:c>
      <x:c r="B58" s="457" t="str">
        <x:v>Current ticket: hedge 70% of policy volume using 104 long Brent futures and 78 zero-cost collars. Collar legs: buy the $96.72 call / sell the $88.24 put. Leave 30% unhedged. Illustrative only; confirm live quotes, basis, liquidity, and airline governance before execution.</x:v>
      </x:c>
      <x:c r="C58" s="457" t="str">
        <x:v>Current ticket: hedge 70% of policy volume using 104 long Brent futures and 78 zero-cost collars. Collar legs: buy the $96.72 call / sell the $88.24 put. Leave 30% unhedged. Illustrative only; confirm live quotes, basis, liquidity, and airline governance before execution.</x:v>
      </x:c>
      <x:c r="D58" s="457" t="str">
        <x:v>Current ticket: hedge 70% of policy volume using 104 long Brent futures and 78 zero-cost collars. Collar legs: buy the $96.72 call / sell the $88.24 put. Leave 30% unhedged. Illustrative only; confirm live quotes, basis, liquidity, and airline governance before execution.</x:v>
      </x:c>
      <x:c r="E58" s="457" t="str">
        <x:v>Current ticket: hedge 70% of policy volume using 104 long Brent futures and 78 zero-cost collars. Collar legs: buy the $96.72 call / sell the $88.24 put. Leave 30% unhedged. Illustrative only; confirm live quotes, basis, liquidity, and airline governance before execution.</x:v>
      </x:c>
      <x:c r="F58" s="457" t="str">
        <x:v>Current ticket: hedge 70% of policy volume using 104 long Brent futures and 78 zero-cost collars. Collar legs: buy the $96.72 call / sell the $88.24 put. Leave 30% unhedged. Illustrative only; confirm live quotes, basis, liquidity, and airline governance before execution.</x:v>
      </x:c>
      <x:c r="G58" s="457" t="str">
        <x:v>Current ticket: hedge 70% of policy volume using 104 long Brent futures and 78 zero-cost collars. Collar legs: buy the $96.72 call / sell the $88.24 put. Leave 30% unhedged. Illustrative only; confirm live quotes, basis, liquidity, and airline governance before execution.</x:v>
      </x:c>
      <x:c r="H58" s="457" t="str">
        <x:v>Current ticket: hedge 70% of policy volume using 104 long Brent futures and 78 zero-cost collars. Collar legs: buy the $96.72 call / sell the $88.24 put. Leave 30% unhedged. Illustrative only; confirm live quotes, basis, liquidity, and airline governance before execution.</x:v>
      </x:c>
      <x:c r="I58" s="457" t="str">
        <x:v>Current ticket: hedge 70% of policy volume using 104 long Brent futures and 78 zero-cost collars. Collar legs: buy the $96.72 call / sell the $88.24 put. Leave 30% unhedged. Illustrative only; confirm live quotes, basis, liquidity, and airline governance before execution.</x:v>
      </x:c>
      <x:c r="J58" s="457" t="str">
        <x:v>Current ticket: hedge 70% of policy volume using 104 long Brent futures and 78 zero-cost collars. Collar legs: buy the $96.72 call / sell the $88.24 put. Leave 30% unhedged. Illustrative only; confirm live quotes, basis, liquidity, and airline governance before execution.</x:v>
      </x:c>
      <x:c r="K58" s="457" t="str">
        <x:v>Current ticket: hedge 70% of policy volume using 104 long Brent futures and 78 zero-cost collars. Collar legs: buy the $96.72 call / sell the $88.24 put. Leave 30% unhedged. Illustrative only; confirm live quotes, basis, liquidity, and airline governance before execution.</x:v>
      </x:c>
      <x:c r="L58" s="457" t="str">
        <x:v>Current ticket: hedge 70% of policy volume using 104 long Brent futures and 78 zero-cost collars. Collar legs: buy the $96.72 call / sell the $88.24 put. Leave 30% unhedged. Illustrative only; confirm live quotes, basis, liquidity, and airline governance before execution.</x:v>
      </x:c>
      <x:c r="M58" s="457" t="str">
        <x:v>Current ticket: hedge 70% of policy volume using 104 long Brent futures and 78 zero-cost collars. Collar legs: buy the $96.72 call / sell the $88.24 put. Leave 30% unhedged. Illustrative only; confirm live quotes, basis, liquidity, and airline governance before execution.</x:v>
      </x:c>
    </x:row>
  </x:sheetData>
  <x:mergeCells>
    <x:mergeCell ref="A1:M1"/>
    <x:mergeCell ref="A2:M2"/>
    <x:mergeCell ref="A4:C4"/>
    <x:mergeCell ref="A5:C7"/>
    <x:mergeCell ref="D4:F4"/>
    <x:mergeCell ref="D5:F7"/>
    <x:mergeCell ref="G4:I4"/>
    <x:mergeCell ref="G5:I7"/>
    <x:mergeCell ref="J4:M4"/>
    <x:mergeCell ref="J5:M7"/>
    <x:mergeCell ref="A9:C9"/>
    <x:mergeCell ref="A10:C12"/>
    <x:mergeCell ref="D9:F9"/>
    <x:mergeCell ref="D10:F12"/>
    <x:mergeCell ref="G9:I9"/>
    <x:mergeCell ref="G10:I12"/>
    <x:mergeCell ref="J9:M9"/>
    <x:mergeCell ref="J10:M12"/>
    <x:mergeCell ref="A14:M16"/>
    <x:mergeCell ref="A56:M58"/>
  </x:mergeCells>
  <x:pageMargins left="0.7" right="0.7" top="0.75" bottom="0.75" header="0.3" footer="0.3"/>
  <x:drawing xmlns:r="http://schemas.openxmlformats.org/officeDocument/2006/relationships" r:id="Re1bf6a3e7572475e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16" hidden="0" customWidth="1"/>
    <x:col min="3" max="3" width="18" hidden="0" customWidth="1"/>
    <x:col min="4" max="4" width="52" hidden="0" customWidth="1"/>
  </x:cols>
  <x:sheetData>
    <x:row r="1" ht="34" customHeight="1">
      <x:c r="A1" s="3" t="str">
        <x:v>LOCKED ASSUMPTIONS</x:v>
      </x:c>
      <x:c r="B1" s="3" t="str">
        <x:v>LOCKED ASSUMPTIONS</x:v>
      </x:c>
      <x:c r="C1" s="3" t="str">
        <x:v>LOCKED ASSUMPTIONS</x:v>
      </x:c>
      <x:c r="D1" s="3" t="str">
        <x:v>LOCKED ASSUMPTIONS</x:v>
      </x:c>
    </x:row>
    <x:row r="2" ht="30" customHeight="1">
      <x:c r="A2" s="7" t="str">
        <x:v>Blue cells are editable; green formulas link to other sheets. The 2023 settings remain frozen for the audit.</x:v>
      </x:c>
      <x:c r="B2" s="7" t="str">
        <x:v>Blue cells are editable; green formulas link to other sheets. The 2023 settings remain frozen for the audit.</x:v>
      </x:c>
      <x:c r="C2" s="7" t="str">
        <x:v>Blue cells are editable; green formulas link to other sheets. The 2023 settings remain frozen for the audit.</x:v>
      </x:c>
      <x:c r="D2" s="7" t="str">
        <x:v>Blue cells are editable; green formulas link to other sheets. The 2023 settings remain frozen for the audit.</x:v>
      </x:c>
    </x:row>
    <x:row r="3">
      <x:c r="A3" s="458"/>
      <x:c r="B3" s="458"/>
      <x:c r="C3" s="458"/>
      <x:c r="D3" s="458"/>
    </x:row>
    <x:row r="4">
      <x:c r="A4" s="12" t="str">
        <x:v>Input</x:v>
      </x:c>
      <x:c r="B4" s="12" t="str">
        <x:v>Value</x:v>
      </x:c>
      <x:c r="C4" s="12" t="str">
        <x:v>Units</x:v>
      </x:c>
      <x:c r="D4" s="12" t="str">
        <x:v>Rationale</x:v>
      </x:c>
    </x:row>
    <x:row r="5">
      <x:c r="A5" s="42" t="str">
        <x:v>Monthly fuel volume</x:v>
      </x:c>
      <x:c r="B5" s="35" t="n">
        <x:v>10000000</x:v>
      </x:c>
      <x:c r="C5" s="24" t="str">
        <x:v>gallons</x:v>
      </x:c>
      <x:c r="D5" s="25" t="str">
        <x:v>Illustrative constant airline consumption</x:v>
      </x:c>
    </x:row>
    <x:row r="6">
      <x:c r="A6" s="43" t="str">
        <x:v>Lock date</x:v>
      </x:c>
      <x:c r="B6" s="36" t="n">
        <x:v>45138</x:v>
      </x:c>
      <x:c r="C6" s="27" t="str">
        <x:v>date</x:v>
      </x:c>
      <x:c r="D6" s="28" t="str">
        <x:v>No post-lock observations used to choose the audited hedge</x:v>
      </x:c>
    </x:row>
    <x:row r="7">
      <x:c r="A7" s="43" t="str">
        <x:v>Audit end</x:v>
      </x:c>
      <x:c r="B7" s="36" t="n">
        <x:v>46203</x:v>
      </x:c>
      <x:c r="C7" s="27" t="str">
        <x:v>date</x:v>
      </x:c>
      <x:c r="D7" s="28" t="str">
        <x:v>Last complete EIA month in the performance audit</x:v>
      </x:c>
    </x:row>
    <x:row r="8">
      <x:c r="A8" s="43" t="str">
        <x:v>Locked cross-hedge beta</x:v>
      </x:c>
      <x:c r="B8" s="37" t="n">
        <x:v>0.8700816196455031</x:v>
      </x:c>
      <x:c r="C8" s="27" t="str">
        <x:v>x</x:v>
      </x:c>
      <x:c r="D8" s="28" t="str">
        <x:v>Regression of monthly jet-fuel changes on Brent $/gallon equivalent</x:v>
      </x:c>
    </x:row>
    <x:row r="9">
      <x:c r="A9" s="43" t="str">
        <x:v>Call strike premium</x:v>
      </x:c>
      <x:c r="B9" s="38" t="n">
        <x:v>0.05</x:v>
      </x:c>
      <x:c r="C9" s="27" t="str">
        <x:v>% above future</x:v>
      </x:c>
      <x:c r="D9" s="28" t="str">
        <x:v>One-month call strike rule</x:v>
      </x:c>
    </x:row>
    <x:row r="10">
      <x:c r="A10" s="43" t="str">
        <x:v>Unhedged weight</x:v>
      </x:c>
      <x:c r="B10" s="38" t="n">
        <x:v>0.3</x:v>
      </x:c>
      <x:c r="C10" s="27" t="str">
        <x:v>%</x:v>
      </x:c>
      <x:c r="D10" s="28" t="str">
        <x:v>Risk-policy diversification</x:v>
      </x:c>
    </x:row>
    <x:row r="11">
      <x:c r="A11" s="43" t="str">
        <x:v>Futures weight</x:v>
      </x:c>
      <x:c r="B11" s="38" t="n">
        <x:v>0.4</x:v>
      </x:c>
      <x:c r="C11" s="27" t="str">
        <x:v>%</x:v>
      </x:c>
      <x:c r="D11" s="28" t="str">
        <x:v>Capped at 40%</x:v>
      </x:c>
    </x:row>
    <x:row r="12">
      <x:c r="A12" s="43" t="str">
        <x:v>Long-call weight</x:v>
      </x:c>
      <x:c r="B12" s="38" t="n">
        <x:v>0</x:v>
      </x:c>
      <x:c r="C12" s="27" t="str">
        <x:v>%</x:v>
      </x:c>
      <x:c r="D12" s="28" t="str">
        <x:v>Optimizer-selected within policy</x:v>
      </x:c>
    </x:row>
    <x:row r="13">
      <x:c r="A13" s="43" t="str">
        <x:v>Zero-cost collar weight</x:v>
      </x:c>
      <x:c r="B13" s="38" t="n">
        <x:v>0.3</x:v>
      </x:c>
      <x:c r="C13" s="27" t="str">
        <x:v>%</x:v>
      </x:c>
      <x:c r="D13" s="28" t="str">
        <x:v>At least 30% option share across call + collar</x:v>
      </x:c>
    </x:row>
    <x:row r="14">
      <x:c r="A14" s="43" t="str">
        <x:v>Futures friction</x:v>
      </x:c>
      <x:c r="B14" s="39" t="n">
        <x:v>0.001</x:v>
      </x:c>
      <x:c r="C14" s="27" t="str">
        <x:v>$/hedged gallon</x:v>
      </x:c>
      <x:c r="D14" s="28" t="str">
        <x:v>Illustrative execution allowance</x:v>
      </x:c>
    </x:row>
    <x:row r="15">
      <x:c r="A15" s="43" t="str">
        <x:v>Option friction</x:v>
      </x:c>
      <x:c r="B15" s="39" t="n">
        <x:v>0.002</x:v>
      </x:c>
      <x:c r="C15" s="27" t="str">
        <x:v>$/hedged gallon</x:v>
      </x:c>
      <x:c r="D15" s="28" t="str">
        <x:v>Illustrative execution allowance</x:v>
      </x:c>
    </x:row>
    <x:row r="16">
      <x:c r="A16" s="43" t="str">
        <x:v>Gallons per barrel</x:v>
      </x:c>
      <x:c r="B16" s="40" t="n">
        <x:v>42</x:v>
      </x:c>
      <x:c r="C16" s="27" t="str">
        <x:v>gallons</x:v>
      </x:c>
      <x:c r="D16" s="28" t="str">
        <x:v>Petroleum conversion</x:v>
      </x:c>
    </x:row>
    <x:row r="17">
      <x:c r="A17" s="43" t="str">
        <x:v>Contract size</x:v>
      </x:c>
      <x:c r="B17" s="40" t="n">
        <x:v>1000</x:v>
      </x:c>
      <x:c r="C17" s="27" t="str">
        <x:v>barrels</x:v>
      </x:c>
      <x:c r="D17" s="28" t="str">
        <x:v>CME Brent contract convention</x:v>
      </x:c>
    </x:row>
    <x:row r="18">
      <x:c r="A18" s="44" t="str">
        <x:v>Risk aversion</x:v>
      </x:c>
      <x:c r="B18" s="41" t="n">
        <x:v>0.75</x:v>
      </x:c>
      <x:c r="C18" s="30" t="str">
        <x:v>x tail penalty</x:v>
      </x:c>
      <x:c r="D18" s="31" t="str">
        <x:v>Mean cost plus 75% of CVaR excess</x:v>
      </x:c>
    </x:row>
    <x:row r="19">
      <x:c r="A19" s="458"/>
      <x:c r="B19" s="458"/>
      <x:c r="C19" s="458"/>
      <x:c r="D19" s="458"/>
    </x:row>
    <x:row r="20">
      <x:c r="A20" s="64" t="str">
        <x:v>Model boundary: EIA spot prices settle a synthetic one-month Brent future. OVX supplies a public volatility proxy; the model does not claim historical exchange option fills. Use this for derivatives education and risk-policy analysis, not live trade execution.</x:v>
      </x:c>
      <x:c r="B20" s="65" t="str">
        <x:v>Model boundary: EIA spot prices settle a synthetic one-month Brent future. OVX supplies a public volatility proxy; the model does not claim historical exchange option fills. Use this for derivatives education and risk-policy analysis, not live trade execution.</x:v>
      </x:c>
      <x:c r="C20" s="65" t="str">
        <x:v>Model boundary: EIA spot prices settle a synthetic one-month Brent future. OVX supplies a public volatility proxy; the model does not claim historical exchange option fills. Use this for derivatives education and risk-policy analysis, not live trade execution.</x:v>
      </x:c>
      <x:c r="D20" s="66" t="str">
        <x:v>Model boundary: EIA spot prices settle a synthetic one-month Brent future. OVX supplies a public volatility proxy; the model does not claim historical exchange option fills. Use this for derivatives education and risk-policy analysis, not live trade execution.</x:v>
      </x:c>
    </x:row>
    <x:row r="21">
      <x:c r="A21" s="67" t="str">
        <x:v>Model boundary: EIA spot prices settle a synthetic one-month Brent future. OVX supplies a public volatility proxy; the model does not claim historical exchange option fills. Use this for derivatives education and risk-policy analysis, not live trade execution.</x:v>
      </x:c>
      <x:c r="B21" s="68" t="str">
        <x:v>Model boundary: EIA spot prices settle a synthetic one-month Brent future. OVX supplies a public volatility proxy; the model does not claim historical exchange option fills. Use this for derivatives education and risk-policy analysis, not live trade execution.</x:v>
      </x:c>
      <x:c r="C21" s="68" t="str">
        <x:v>Model boundary: EIA spot prices settle a synthetic one-month Brent future. OVX supplies a public volatility proxy; the model does not claim historical exchange option fills. Use this for derivatives education and risk-policy analysis, not live trade execution.</x:v>
      </x:c>
      <x:c r="D21" s="69" t="str">
        <x:v>Model boundary: EIA spot prices settle a synthetic one-month Brent future. OVX supplies a public volatility proxy; the model does not claim historical exchange option fills. Use this for derivatives education and risk-policy analysis, not live trade execution.</x:v>
      </x:c>
    </x:row>
    <x:row r="22">
      <x:c r="A22" s="70" t="str">
        <x:v>Model boundary: EIA spot prices settle a synthetic one-month Brent future. OVX supplies a public volatility proxy; the model does not claim historical exchange option fills. Use this for derivatives education and risk-policy analysis, not live trade execution.</x:v>
      </x:c>
      <x:c r="B22" s="71" t="str">
        <x:v>Model boundary: EIA spot prices settle a synthetic one-month Brent future. OVX supplies a public volatility proxy; the model does not claim historical exchange option fills. Use this for derivatives education and risk-policy analysis, not live trade execution.</x:v>
      </x:c>
      <x:c r="C22" s="71" t="str">
        <x:v>Model boundary: EIA spot prices settle a synthetic one-month Brent future. OVX supplies a public volatility proxy; the model does not claim historical exchange option fills. Use this for derivatives education and risk-policy analysis, not live trade execution.</x:v>
      </x:c>
      <x:c r="D22" s="72" t="str">
        <x:v>Model boundary: EIA spot prices settle a synthetic one-month Brent future. OVX supplies a public volatility proxy; the model does not claim historical exchange option fills. Use this for derivatives education and risk-policy analysis, not live trade execution.</x:v>
      </x:c>
    </x:row>
  </x:sheetData>
  <x:mergeCells>
    <x:mergeCell ref="A1:D1"/>
    <x:mergeCell ref="A2:D2"/>
    <x:mergeCell ref="A20:D22"/>
  </x:mergeCells>
  <x:pageMargins left="0.7" right="0.7" top="0.75" bottom="0.75" header="0.3" footer="0.3"/>
  <x:legacyDrawing xmlns:r="http://schemas.openxmlformats.org/officeDocument/2006/relationships" r:id="R4c46b5ec4f494cb9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</x:cols>
  <x:sheetData>
    <x:row r="1" ht="34" customHeight="1">
      <x:c r="A1" s="3" t="str">
        <x:v>MARKET DATA</x:v>
      </x:c>
      <x:c r="B1" s="3" t="str">
        <x:v>MARKET DATA</x:v>
      </x:c>
      <x:c r="C1" s="3" t="str">
        <x:v>MARKET DATA</x:v>
      </x:c>
      <x:c r="D1" s="3" t="str">
        <x:v>MARKET DATA</x:v>
      </x:c>
      <x:c r="E1" s="3" t="str">
        <x:v>MARKET DATA</x:v>
      </x:c>
      <x:c r="F1" s="3" t="str">
        <x:v>MARKET DATA</x:v>
      </x:c>
    </x:row>
    <x:row r="2" ht="30" customHeight="1">
      <x:c r="A2" s="7" t="str">
        <x:v>Monthly EIA Brent and jet-fuel observations with Cboe OVX and one-month Treasury inputs.</x:v>
      </x:c>
      <x:c r="B2" s="7" t="str">
        <x:v>Monthly EIA Brent and jet-fuel observations with Cboe OVX and one-month Treasury inputs.</x:v>
      </x:c>
      <x:c r="C2" s="7" t="str">
        <x:v>Monthly EIA Brent and jet-fuel observations with Cboe OVX and one-month Treasury inputs.</x:v>
      </x:c>
      <x:c r="D2" s="7" t="str">
        <x:v>Monthly EIA Brent and jet-fuel observations with Cboe OVX and one-month Treasury inputs.</x:v>
      </x:c>
      <x:c r="E2" s="7" t="str">
        <x:v>Monthly EIA Brent and jet-fuel observations with Cboe OVX and one-month Treasury inputs.</x:v>
      </x:c>
      <x:c r="F2" s="7" t="str">
        <x:v>Monthly EIA Brent and jet-fuel observations with Cboe OVX and one-month Treasury inputs.</x:v>
      </x:c>
    </x:row>
    <x:row r="3">
      <x:c r="A3" s="458"/>
      <x:c r="B3" s="458"/>
      <x:c r="C3" s="458"/>
      <x:c r="D3" s="458"/>
      <x:c r="E3" s="458"/>
      <x:c r="F3" s="458"/>
    </x:row>
    <x:row r="4">
      <x:c r="A4" s="12" t="str">
        <x:v>Month end</x:v>
      </x:c>
      <x:c r="B4" s="12" t="str">
        <x:v>Observation date</x:v>
      </x:c>
      <x:c r="C4" s="12" t="str">
        <x:v>Brent ($/bbl)</x:v>
      </x:c>
      <x:c r="D4" s="12" t="str">
        <x:v>Jet fuel ($/gal)</x:v>
      </x:c>
      <x:c r="E4" s="12" t="str">
        <x:v>OVX (%)</x:v>
      </x:c>
      <x:c r="F4" s="12" t="str">
        <x:v>1M Treasury (%)</x:v>
      </x:c>
    </x:row>
    <x:row r="5">
      <x:c r="A5" s="73" t="n">
        <x:v>43131</x:v>
      </x:c>
      <x:c r="B5" s="74" t="n">
        <x:v>43131</x:v>
      </x:c>
      <x:c r="C5" s="79" t="n">
        <x:v>67.78</x:v>
      </x:c>
      <x:c r="D5" s="82" t="n">
        <x:v>1.967</x:v>
      </x:c>
      <x:c r="E5" s="85" t="n">
        <x:v>22.23</x:v>
      </x:c>
      <x:c r="F5" s="86" t="n">
        <x:v>1.43</x:v>
      </x:c>
    </x:row>
    <x:row r="6">
      <x:c r="A6" s="75" t="n">
        <x:v>43159</x:v>
      </x:c>
      <x:c r="B6" s="76" t="n">
        <x:v>43159</x:v>
      </x:c>
      <x:c r="C6" s="80" t="n">
        <x:v>66.08</x:v>
      </x:c>
      <x:c r="D6" s="83" t="n">
        <x:v>1.852</x:v>
      </x:c>
      <x:c r="E6" s="87" t="n">
        <x:v>26.92</x:v>
      </x:c>
      <x:c r="F6" s="88" t="n">
        <x:v>1.5</x:v>
      </x:c>
    </x:row>
    <x:row r="7">
      <x:c r="A7" s="75" t="n">
        <x:v>43190</x:v>
      </x:c>
      <x:c r="B7" s="76" t="n">
        <x:v>43188</x:v>
      </x:c>
      <x:c r="C7" s="80" t="n">
        <x:v>69.02</x:v>
      </x:c>
      <x:c r="D7" s="83" t="n">
        <x:v>1.957</x:v>
      </x:c>
      <x:c r="E7" s="87" t="n">
        <x:v>25.07</x:v>
      </x:c>
      <x:c r="F7" s="88" t="n">
        <x:v>1.63</x:v>
      </x:c>
    </x:row>
    <x:row r="8">
      <x:c r="A8" s="75" t="n">
        <x:v>43220</x:v>
      </x:c>
      <x:c r="B8" s="76" t="n">
        <x:v>43220</x:v>
      </x:c>
      <x:c r="C8" s="80" t="n">
        <x:v>75.92</x:v>
      </x:c>
      <x:c r="D8" s="83" t="n">
        <x:v>2.099</x:v>
      </x:c>
      <x:c r="E8" s="87" t="n">
        <x:v>28.28</x:v>
      </x:c>
      <x:c r="F8" s="88" t="n">
        <x:v>1.65</x:v>
      </x:c>
    </x:row>
    <x:row r="9">
      <x:c r="A9" s="75" t="n">
        <x:v>43251</x:v>
      </x:c>
      <x:c r="B9" s="76" t="n">
        <x:v>43251</x:v>
      </x:c>
      <x:c r="C9" s="80" t="n">
        <x:v>76.45</x:v>
      </x:c>
      <x:c r="D9" s="83" t="n">
        <x:v>2.157</x:v>
      </x:c>
      <x:c r="E9" s="87" t="n">
        <x:v>27.61</x:v>
      </x:c>
      <x:c r="F9" s="88" t="n">
        <x:v>1.76</x:v>
      </x:c>
    </x:row>
    <x:row r="10">
      <x:c r="A10" s="75" t="n">
        <x:v>43281</x:v>
      </x:c>
      <x:c r="B10" s="76" t="n">
        <x:v>43280</x:v>
      </x:c>
      <x:c r="C10" s="80" t="n">
        <x:v>77.44</x:v>
      </x:c>
      <x:c r="D10" s="83" t="n">
        <x:v>2.148</x:v>
      </x:c>
      <x:c r="E10" s="87" t="n">
        <x:v>27.18</x:v>
      </x:c>
      <x:c r="F10" s="88" t="n">
        <x:v>1.77</x:v>
      </x:c>
    </x:row>
    <x:row r="11">
      <x:c r="A11" s="75" t="n">
        <x:v>43312</x:v>
      </x:c>
      <x:c r="B11" s="76" t="n">
        <x:v>43312</x:v>
      </x:c>
      <x:c r="C11" s="80" t="n">
        <x:v>74.16</x:v>
      </x:c>
      <x:c r="D11" s="83" t="n">
        <x:v>2.114</x:v>
      </x:c>
      <x:c r="E11" s="87" t="n">
        <x:v>26.52</x:v>
      </x:c>
      <x:c r="F11" s="88" t="n">
        <x:v>1.94</x:v>
      </x:c>
    </x:row>
    <x:row r="12">
      <x:c r="A12" s="75" t="n">
        <x:v>43343</x:v>
      </x:c>
      <x:c r="B12" s="76" t="n">
        <x:v>43343</x:v>
      </x:c>
      <x:c r="C12" s="80" t="n">
        <x:v>76.94</x:v>
      </x:c>
      <x:c r="D12" s="83" t="n">
        <x:v>2.191</x:v>
      </x:c>
      <x:c r="E12" s="87" t="n">
        <x:v>25.02</x:v>
      </x:c>
      <x:c r="F12" s="88" t="n">
        <x:v>1.95</x:v>
      </x:c>
    </x:row>
    <x:row r="13">
      <x:c r="A13" s="75" t="n">
        <x:v>43373</x:v>
      </x:c>
      <x:c r="B13" s="76" t="n">
        <x:v>43371</x:v>
      </x:c>
      <x:c r="C13" s="80" t="n">
        <x:v>82.72</x:v>
      </x:c>
      <x:c r="D13" s="83" t="n">
        <x:v>2.267</x:v>
      </x:c>
      <x:c r="E13" s="87" t="n">
        <x:v>26.73</x:v>
      </x:c>
      <x:c r="F13" s="88" t="n">
        <x:v>2.12</x:v>
      </x:c>
    </x:row>
    <x:row r="14">
      <x:c r="A14" s="75" t="n">
        <x:v>43404</x:v>
      </x:c>
      <x:c r="B14" s="76" t="n">
        <x:v>43404</x:v>
      </x:c>
      <x:c r="C14" s="80" t="n">
        <x:v>74.84</x:v>
      </x:c>
      <x:c r="D14" s="83" t="n">
        <x:v>2.158</x:v>
      </x:c>
      <x:c r="E14" s="87" t="n">
        <x:v>30.12</x:v>
      </x:c>
      <x:c r="F14" s="88" t="n">
        <x:v>2.2</x:v>
      </x:c>
    </x:row>
    <x:row r="15">
      <x:c r="A15" s="75" t="n">
        <x:v>43434</x:v>
      </x:c>
      <x:c r="B15" s="76" t="n">
        <x:v>43434</x:v>
      </x:c>
      <x:c r="C15" s="80" t="n">
        <x:v>57.71</x:v>
      </x:c>
      <x:c r="D15" s="83" t="n">
        <x:v>1.728</x:v>
      </x:c>
      <x:c r="E15" s="87" t="n">
        <x:v>56.04</x:v>
      </x:c>
      <x:c r="F15" s="88" t="n">
        <x:v>2.31</x:v>
      </x:c>
    </x:row>
    <x:row r="16">
      <x:c r="A16" s="75" t="n">
        <x:v>43465</x:v>
      </x:c>
      <x:c r="B16" s="76" t="n">
        <x:v>43462</x:v>
      </x:c>
      <x:c r="C16" s="80" t="n">
        <x:v>50.57</x:v>
      </x:c>
      <x:c r="D16" s="83" t="n">
        <x:v>1.564</x:v>
      </x:c>
      <x:c r="E16" s="87" t="n">
        <x:v>53.11</x:v>
      </x:c>
      <x:c r="F16" s="88" t="n">
        <x:v>2.39</x:v>
      </x:c>
    </x:row>
    <x:row r="17">
      <x:c r="A17" s="75" t="n">
        <x:v>43496</x:v>
      </x:c>
      <x:c r="B17" s="76" t="n">
        <x:v>43496</x:v>
      </x:c>
      <x:c r="C17" s="80" t="n">
        <x:v>62.46</x:v>
      </x:c>
      <x:c r="D17" s="83" t="n">
        <x:v>1.841</x:v>
      </x:c>
      <x:c r="E17" s="87" t="n">
        <x:v>34.97</x:v>
      </x:c>
      <x:c r="F17" s="88" t="n">
        <x:v>2.42</x:v>
      </x:c>
    </x:row>
    <x:row r="18">
      <x:c r="A18" s="75" t="n">
        <x:v>43524</x:v>
      </x:c>
      <x:c r="B18" s="76" t="n">
        <x:v>43524</x:v>
      </x:c>
      <x:c r="C18" s="80" t="n">
        <x:v>65.03</x:v>
      </x:c>
      <x:c r="D18" s="83" t="n">
        <x:v>1.955</x:v>
      </x:c>
      <x:c r="E18" s="87" t="n">
        <x:v>30.27</x:v>
      </x:c>
      <x:c r="F18" s="88" t="n">
        <x:v>2.44</x:v>
      </x:c>
    </x:row>
    <x:row r="19">
      <x:c r="A19" s="75" t="n">
        <x:v>43555</x:v>
      </x:c>
      <x:c r="B19" s="76" t="n">
        <x:v>43553</x:v>
      </x:c>
      <x:c r="C19" s="80" t="n">
        <x:v>67.93</x:v>
      </x:c>
      <x:c r="D19" s="83" t="n">
        <x:v>1.896</x:v>
      </x:c>
      <x:c r="E19" s="87" t="n">
        <x:v>26.75</x:v>
      </x:c>
      <x:c r="F19" s="88" t="n">
        <x:v>2.43</x:v>
      </x:c>
    </x:row>
    <x:row r="20">
      <x:c r="A20" s="75" t="n">
        <x:v>43585</x:v>
      </x:c>
      <x:c r="B20" s="76" t="n">
        <x:v>43585</x:v>
      </x:c>
      <x:c r="C20" s="80" t="n">
        <x:v>72.19</x:v>
      </x:c>
      <x:c r="D20" s="83" t="n">
        <x:v>1.99</x:v>
      </x:c>
      <x:c r="E20" s="87" t="n">
        <x:v>29.31</x:v>
      </x:c>
      <x:c r="F20" s="88" t="n">
        <x:v>2.43</x:v>
      </x:c>
    </x:row>
    <x:row r="21">
      <x:c r="A21" s="75" t="n">
        <x:v>43616</x:v>
      </x:c>
      <x:c r="B21" s="76" t="n">
        <x:v>43616</x:v>
      </x:c>
      <x:c r="C21" s="80" t="n">
        <x:v>66.78</x:v>
      </x:c>
      <x:c r="D21" s="83" t="n">
        <x:v>1.802</x:v>
      </x:c>
      <x:c r="E21" s="87" t="n">
        <x:v>46.91</x:v>
      </x:c>
      <x:c r="F21" s="88" t="n">
        <x:v>2.35</x:v>
      </x:c>
    </x:row>
    <x:row r="22">
      <x:c r="A22" s="75" t="n">
        <x:v>43646</x:v>
      </x:c>
      <x:c r="B22" s="76" t="n">
        <x:v>43644</x:v>
      </x:c>
      <x:c r="C22" s="80" t="n">
        <x:v>67.52</x:v>
      </x:c>
      <x:c r="D22" s="83" t="n">
        <x:v>1.888</x:v>
      </x:c>
      <x:c r="E22" s="87" t="n">
        <x:v>39.46</x:v>
      </x:c>
      <x:c r="F22" s="88" t="n">
        <x:v>2.18</x:v>
      </x:c>
    </x:row>
    <x:row r="23">
      <x:c r="A23" s="75" t="n">
        <x:v>43677</x:v>
      </x:c>
      <x:c r="B23" s="76" t="n">
        <x:v>43677</x:v>
      </x:c>
      <x:c r="C23" s="80" t="n">
        <x:v>64.07</x:v>
      </x:c>
      <x:c r="D23" s="83" t="n">
        <x:v>1.948</x:v>
      </x:c>
      <x:c r="E23" s="87" t="n">
        <x:v>30.77</x:v>
      </x:c>
      <x:c r="F23" s="88" t="n">
        <x:v>2.01</x:v>
      </x:c>
    </x:row>
    <x:row r="24">
      <x:c r="A24" s="75" t="n">
        <x:v>43708</x:v>
      </x:c>
      <x:c r="B24" s="76" t="n">
        <x:v>43707</x:v>
      </x:c>
      <x:c r="C24" s="80" t="n">
        <x:v>61.04</x:v>
      </x:c>
      <x:c r="D24" s="83" t="n">
        <x:v>1.811</x:v>
      </x:c>
      <x:c r="E24" s="87" t="n">
        <x:v>32.16</x:v>
      </x:c>
      <x:c r="F24" s="88" t="n">
        <x:v>2.1</x:v>
      </x:c>
    </x:row>
    <x:row r="25">
      <x:c r="A25" s="75" t="n">
        <x:v>43738</x:v>
      </x:c>
      <x:c r="B25" s="76" t="n">
        <x:v>43738</x:v>
      </x:c>
      <x:c r="C25" s="80" t="n">
        <x:v>60.99</x:v>
      </x:c>
      <x:c r="D25" s="83" t="n">
        <x:v>1.852</x:v>
      </x:c>
      <x:c r="E25" s="87" t="n">
        <x:v>38.75</x:v>
      </x:c>
      <x:c r="F25" s="88" t="n">
        <x:v>1.91</x:v>
      </x:c>
    </x:row>
    <x:row r="26">
      <x:c r="A26" s="75" t="n">
        <x:v>43769</x:v>
      </x:c>
      <x:c r="B26" s="76" t="n">
        <x:v>43769</x:v>
      </x:c>
      <x:c r="C26" s="80" t="n">
        <x:v>59.3</x:v>
      </x:c>
      <x:c r="D26" s="83" t="n">
        <x:v>1.8</x:v>
      </x:c>
      <x:c r="E26" s="87" t="n">
        <x:v>35.84</x:v>
      </x:c>
      <x:c r="F26" s="88" t="n">
        <x:v>1.59</x:v>
      </x:c>
    </x:row>
    <x:row r="27">
      <x:c r="A27" s="75" t="n">
        <x:v>43799</x:v>
      </x:c>
      <x:c r="B27" s="76" t="n">
        <x:v>43798</x:v>
      </x:c>
      <x:c r="C27" s="80" t="n">
        <x:v>64.5</x:v>
      </x:c>
      <x:c r="D27" s="83" t="n">
        <x:v>1.851</x:v>
      </x:c>
      <x:c r="E27" s="87" t="n">
        <x:v>36.73</x:v>
      </x:c>
      <x:c r="F27" s="88" t="n">
        <x:v>1.62</x:v>
      </x:c>
    </x:row>
    <x:row r="28">
      <x:c r="A28" s="75" t="n">
        <x:v>43830</x:v>
      </x:c>
      <x:c r="B28" s="76" t="n">
        <x:v>43830</x:v>
      </x:c>
      <x:c r="C28" s="80" t="n">
        <x:v>67.77</x:v>
      </x:c>
      <x:c r="D28" s="83" t="n">
        <x:v>1.942</x:v>
      </x:c>
      <x:c r="E28" s="87" t="n">
        <x:v>28.3</x:v>
      </x:c>
      <x:c r="F28" s="88" t="n">
        <x:v>1.48</x:v>
      </x:c>
    </x:row>
    <x:row r="29">
      <x:c r="A29" s="75" t="n">
        <x:v>43861</x:v>
      </x:c>
      <x:c r="B29" s="76" t="n">
        <x:v>43861</x:v>
      </x:c>
      <x:c r="C29" s="80" t="n">
        <x:v>57.77</x:v>
      </x:c>
      <x:c r="D29" s="83" t="n">
        <x:v>1.504</x:v>
      </x:c>
      <x:c r="E29" s="87" t="n">
        <x:v>40.35</x:v>
      </x:c>
      <x:c r="F29" s="88" t="n">
        <x:v>1.56</x:v>
      </x:c>
    </x:row>
    <x:row r="30">
      <x:c r="A30" s="75" t="n">
        <x:v>43890</x:v>
      </x:c>
      <x:c r="B30" s="76" t="n">
        <x:v>43889</x:v>
      </x:c>
      <x:c r="C30" s="80" t="n">
        <x:v>51.31</x:v>
      </x:c>
      <x:c r="D30" s="83" t="n">
        <x:v>1.381</x:v>
      </x:c>
      <x:c r="E30" s="87" t="n">
        <x:v>51.25</x:v>
      </x:c>
      <x:c r="F30" s="88" t="n">
        <x:v>1.45</x:v>
      </x:c>
    </x:row>
    <x:row r="31">
      <x:c r="A31" s="75" t="n">
        <x:v>43921</x:v>
      </x:c>
      <x:c r="B31" s="76" t="n">
        <x:v>43921</x:v>
      </x:c>
      <x:c r="C31" s="80" t="n">
        <x:v>14.85</x:v>
      </x:c>
      <x:c r="D31" s="83" t="n">
        <x:v>0.697</x:v>
      </x:c>
      <x:c r="E31" s="87" t="n">
        <x:v>170.55</x:v>
      </x:c>
      <x:c r="F31" s="88" t="n">
        <x:v>0.05</x:v>
      </x:c>
    </x:row>
    <x:row r="32">
      <x:c r="A32" s="75" t="n">
        <x:v>43951</x:v>
      </x:c>
      <x:c r="B32" s="76" t="n">
        <x:v>43951</x:v>
      </x:c>
      <x:c r="C32" s="80" t="n">
        <x:v>18.11</x:v>
      </x:c>
      <x:c r="D32" s="83" t="n">
        <x:v>0.517</x:v>
      </x:c>
      <x:c r="E32" s="87" t="n">
        <x:v>104.98</x:v>
      </x:c>
      <x:c r="F32" s="88" t="n">
        <x:v>0.1</x:v>
      </x:c>
    </x:row>
    <x:row r="33">
      <x:c r="A33" s="75" t="n">
        <x:v>43982</x:v>
      </x:c>
      <x:c r="B33" s="76" t="n">
        <x:v>43980</x:v>
      </x:c>
      <x:c r="C33" s="80" t="n">
        <x:v>34.15</x:v>
      </x:c>
      <x:c r="D33" s="83" t="n">
        <x:v>0.856</x:v>
      </x:c>
      <x:c r="E33" s="87" t="n">
        <x:v>69.23</x:v>
      </x:c>
      <x:c r="F33" s="88" t="n">
        <x:v>0.13</x:v>
      </x:c>
    </x:row>
    <x:row r="34">
      <x:c r="A34" s="75" t="n">
        <x:v>44012</x:v>
      </x:c>
      <x:c r="B34" s="76" t="n">
        <x:v>44012</x:v>
      </x:c>
      <x:c r="C34" s="80" t="n">
        <x:v>41.64</x:v>
      </x:c>
      <x:c r="D34" s="83" t="n">
        <x:v>1.02</x:v>
      </x:c>
      <x:c r="E34" s="87" t="n">
        <x:v>57.66</x:v>
      </x:c>
      <x:c r="F34" s="88" t="n">
        <x:v>0.13</x:v>
      </x:c>
    </x:row>
    <x:row r="35">
      <x:c r="A35" s="75" t="n">
        <x:v>44043</x:v>
      </x:c>
      <x:c r="B35" s="76" t="n">
        <x:v>44043</x:v>
      </x:c>
      <x:c r="C35" s="80" t="n">
        <x:v>43.13</x:v>
      </x:c>
      <x:c r="D35" s="83" t="n">
        <x:v>1.087</x:v>
      </x:c>
      <x:c r="E35" s="87" t="n">
        <x:v>44.43</x:v>
      </x:c>
      <x:c r="F35" s="88" t="n">
        <x:v>0.09</x:v>
      </x:c>
    </x:row>
    <x:row r="36">
      <x:c r="A36" s="75" t="n">
        <x:v>44074</x:v>
      </x:c>
      <x:c r="B36" s="76" t="n">
        <x:v>44071</x:v>
      </x:c>
      <x:c r="C36" s="80" t="n">
        <x:v>45.22</x:v>
      </x:c>
      <x:c r="D36" s="83" t="n">
        <x:v>1.117</x:v>
      </x:c>
      <x:c r="E36" s="87" t="n">
        <x:v>32.06</x:v>
      </x:c>
      <x:c r="F36" s="88" t="n">
        <x:v>0.09</x:v>
      </x:c>
    </x:row>
    <x:row r="37">
      <x:c r="A37" s="75" t="n">
        <x:v>44104</x:v>
      </x:c>
      <x:c r="B37" s="76" t="n">
        <x:v>44104</x:v>
      </x:c>
      <x:c r="C37" s="80" t="n">
        <x:v>40.3</x:v>
      </x:c>
      <x:c r="D37" s="83" t="n">
        <x:v>1.038</x:v>
      </x:c>
      <x:c r="E37" s="87" t="n">
        <x:v>44</x:v>
      </x:c>
      <x:c r="F37" s="88" t="n">
        <x:v>0.08</x:v>
      </x:c>
    </x:row>
    <x:row r="38">
      <x:c r="A38" s="75" t="n">
        <x:v>44135</x:v>
      </x:c>
      <x:c r="B38" s="76" t="n">
        <x:v>44134</x:v>
      </x:c>
      <x:c r="C38" s="80" t="n">
        <x:v>36.33</x:v>
      </x:c>
      <x:c r="D38" s="83" t="n">
        <x:v>0.987</x:v>
      </x:c>
      <x:c r="E38" s="87" t="n">
        <x:v>68.84</x:v>
      </x:c>
      <x:c r="F38" s="88" t="n">
        <x:v>0.08</x:v>
      </x:c>
    </x:row>
    <x:row r="39">
      <x:c r="A39" s="75" t="n">
        <x:v>44165</x:v>
      </x:c>
      <x:c r="B39" s="76" t="n">
        <x:v>44165</x:v>
      </x:c>
      <x:c r="C39" s="80" t="n">
        <x:v>46.84</x:v>
      </x:c>
      <x:c r="D39" s="83" t="n">
        <x:v>1.239</x:v>
      </x:c>
      <x:c r="E39" s="87" t="n">
        <x:v>47.37</x:v>
      </x:c>
      <x:c r="F39" s="88" t="n">
        <x:v>0.08</x:v>
      </x:c>
    </x:row>
    <x:row r="40">
      <x:c r="A40" s="75" t="n">
        <x:v>44196</x:v>
      </x:c>
      <x:c r="B40" s="76" t="n">
        <x:v>44196</x:v>
      </x:c>
      <x:c r="C40" s="80" t="n">
        <x:v>51.22</x:v>
      </x:c>
      <x:c r="D40" s="83" t="n">
        <x:v>1.34</x:v>
      </x:c>
      <x:c r="E40" s="87" t="n">
        <x:v>37.83</x:v>
      </x:c>
      <x:c r="F40" s="88" t="n">
        <x:v>0.08</x:v>
      </x:c>
    </x:row>
    <x:row r="41">
      <x:c r="A41" s="75" t="n">
        <x:v>44227</x:v>
      </x:c>
      <x:c r="B41" s="76" t="n">
        <x:v>44225</x:v>
      </x:c>
      <x:c r="C41" s="80" t="n">
        <x:v>55.25</x:v>
      </x:c>
      <x:c r="D41" s="83" t="n">
        <x:v>1.417</x:v>
      </x:c>
      <x:c r="E41" s="87" t="n">
        <x:v>40.2</x:v>
      </x:c>
      <x:c r="F41" s="88" t="n">
        <x:v>0.07</x:v>
      </x:c>
    </x:row>
    <x:row r="42">
      <x:c r="A42" s="75" t="n">
        <x:v>44255</x:v>
      </x:c>
      <x:c r="B42" s="76" t="n">
        <x:v>44253</x:v>
      </x:c>
      <x:c r="C42" s="80" t="n">
        <x:v>65.86</x:v>
      </x:c>
      <x:c r="D42" s="83" t="n">
        <x:v>1.682</x:v>
      </x:c>
      <x:c r="E42" s="87" t="n">
        <x:v>42.49</x:v>
      </x:c>
      <x:c r="F42" s="88" t="n">
        <x:v>0.04</x:v>
      </x:c>
    </x:row>
    <x:row r="43">
      <x:c r="A43" s="75" t="n">
        <x:v>44286</x:v>
      </x:c>
      <x:c r="B43" s="76" t="n">
        <x:v>44286</x:v>
      </x:c>
      <x:c r="C43" s="80" t="n">
        <x:v>63.52</x:v>
      </x:c>
      <x:c r="D43" s="83" t="n">
        <x:v>1.571</x:v>
      </x:c>
      <x:c r="E43" s="87" t="n">
        <x:v>45.65</x:v>
      </x:c>
      <x:c r="F43" s="88" t="n">
        <x:v>0.01</x:v>
      </x:c>
    </x:row>
    <x:row r="44">
      <x:c r="A44" s="75" t="n">
        <x:v>44316</x:v>
      </x:c>
      <x:c r="B44" s="76" t="n">
        <x:v>44316</x:v>
      </x:c>
      <x:c r="C44" s="80" t="n">
        <x:v>67.73</x:v>
      </x:c>
      <x:c r="D44" s="83" t="n">
        <x:v>1.689</x:v>
      </x:c>
      <x:c r="E44" s="87" t="n">
        <x:v>38.39</x:v>
      </x:c>
      <x:c r="F44" s="88" t="n">
        <x:v>0.01</x:v>
      </x:c>
    </x:row>
    <x:row r="45">
      <x:c r="A45" s="75" t="n">
        <x:v>44347</x:v>
      </x:c>
      <x:c r="B45" s="76" t="n">
        <x:v>44344</x:v>
      </x:c>
      <x:c r="C45" s="80" t="n">
        <x:v>69.36</x:v>
      </x:c>
      <x:c r="D45" s="83" t="n">
        <x:v>1.759</x:v>
      </x:c>
      <x:c r="E45" s="87" t="n">
        <x:v>33.54</x:v>
      </x:c>
      <x:c r="F45" s="88" t="n">
        <x:v>0.01</x:v>
      </x:c>
    </x:row>
    <x:row r="46">
      <x:c r="A46" s="75" t="n">
        <x:v>44377</x:v>
      </x:c>
      <x:c r="B46" s="76" t="n">
        <x:v>44377</x:v>
      </x:c>
      <x:c r="C46" s="80" t="n">
        <x:v>76.94</x:v>
      </x:c>
      <x:c r="D46" s="83" t="n">
        <x:v>1.883</x:v>
      </x:c>
      <x:c r="E46" s="87" t="n">
        <x:v>32.74</x:v>
      </x:c>
      <x:c r="F46" s="88" t="n">
        <x:v>0.05</x:v>
      </x:c>
    </x:row>
    <x:row r="47">
      <x:c r="A47" s="75" t="n">
        <x:v>44408</x:v>
      </x:c>
      <x:c r="B47" s="76" t="n">
        <x:v>44407</x:v>
      </x:c>
      <x:c r="C47" s="80" t="n">
        <x:v>77.72</x:v>
      </x:c>
      <x:c r="D47" s="83" t="n">
        <x:v>1.936</x:v>
      </x:c>
      <x:c r="E47" s="87" t="n">
        <x:v>32.85</x:v>
      </x:c>
      <x:c r="F47" s="88" t="n">
        <x:v>0.05</x:v>
      </x:c>
    </x:row>
    <x:row r="48">
      <x:c r="A48" s="75" t="n">
        <x:v>44439</x:v>
      </x:c>
      <x:c r="B48" s="76" t="n">
        <x:v>44439</x:v>
      </x:c>
      <x:c r="C48" s="80" t="n">
        <x:v>73.45</x:v>
      </x:c>
      <x:c r="D48" s="83" t="n">
        <x:v>1.921</x:v>
      </x:c>
      <x:c r="E48" s="87" t="n">
        <x:v>34.28</x:v>
      </x:c>
      <x:c r="F48" s="88" t="n">
        <x:v>0.03</x:v>
      </x:c>
    </x:row>
    <x:row r="49">
      <x:c r="A49" s="75" t="n">
        <x:v>44469</x:v>
      </x:c>
      <x:c r="B49" s="76" t="n">
        <x:v>44469</x:v>
      </x:c>
      <x:c r="C49" s="80" t="n">
        <x:v>77.81</x:v>
      </x:c>
      <x:c r="D49" s="83" t="n">
        <x:v>2.201</x:v>
      </x:c>
      <x:c r="E49" s="87" t="n">
        <x:v>38.68</x:v>
      </x:c>
      <x:c r="F49" s="88" t="n">
        <x:v>0.07</x:v>
      </x:c>
    </x:row>
    <x:row r="50">
      <x:c r="A50" s="75" t="n">
        <x:v>44500</x:v>
      </x:c>
      <x:c r="B50" s="76" t="n">
        <x:v>44498</x:v>
      </x:c>
      <x:c r="C50" s="80" t="n">
        <x:v>83.1</x:v>
      </x:c>
      <x:c r="D50" s="83" t="n">
        <x:v>2.285</x:v>
      </x:c>
      <x:c r="E50" s="87" t="n">
        <x:v>37.92</x:v>
      </x:c>
      <x:c r="F50" s="88" t="n">
        <x:v>0.06</x:v>
      </x:c>
    </x:row>
    <x:row r="51">
      <x:c r="A51" s="75" t="n">
        <x:v>44530</x:v>
      </x:c>
      <x:c r="B51" s="76" t="n">
        <x:v>44530</x:v>
      </x:c>
      <x:c r="C51" s="80" t="n">
        <x:v>70.86</x:v>
      </x:c>
      <x:c r="D51" s="83" t="n">
        <x:v>1.882</x:v>
      </x:c>
      <x:c r="E51" s="87" t="n">
        <x:v>75.23</x:v>
      </x:c>
      <x:c r="F51" s="88" t="n">
        <x:v>0.11</x:v>
      </x:c>
    </x:row>
    <x:row r="52">
      <x:c r="A52" s="75" t="n">
        <x:v>44561</x:v>
      </x:c>
      <x:c r="B52" s="76" t="n">
        <x:v>44561</x:v>
      </x:c>
      <x:c r="C52" s="80" t="n">
        <x:v>77.24</x:v>
      </x:c>
      <x:c r="D52" s="83" t="n">
        <x:v>2.161</x:v>
      </x:c>
      <x:c r="E52" s="87" t="n">
        <x:v>42.62</x:v>
      </x:c>
      <x:c r="F52" s="88" t="n">
        <x:v>0.06</x:v>
      </x:c>
    </x:row>
    <x:row r="53">
      <x:c r="A53" s="75" t="n">
        <x:v>44592</x:v>
      </x:c>
      <x:c r="B53" s="76" t="n">
        <x:v>44592</x:v>
      </x:c>
      <x:c r="C53" s="80" t="n">
        <x:v>92.35</x:v>
      </x:c>
      <x:c r="D53" s="83" t="n">
        <x:v>2.58</x:v>
      </x:c>
      <x:c r="E53" s="87" t="n">
        <x:v>42.35</x:v>
      </x:c>
      <x:c r="F53" s="88" t="n">
        <x:v>0.03</x:v>
      </x:c>
    </x:row>
    <x:row r="54">
      <x:c r="A54" s="75" t="n">
        <x:v>44620</x:v>
      </x:c>
      <x:c r="B54" s="76" t="n">
        <x:v>44620</x:v>
      </x:c>
      <x:c r="C54" s="80" t="n">
        <x:v>103.08</x:v>
      </x:c>
      <x:c r="D54" s="83" t="n">
        <x:v>2.856</x:v>
      </x:c>
      <x:c r="E54" s="87" t="n">
        <x:v>52.5</x:v>
      </x:c>
      <x:c r="F54" s="88" t="n">
        <x:v>0.06</x:v>
      </x:c>
    </x:row>
    <x:row r="55">
      <x:c r="A55" s="75" t="n">
        <x:v>44651</x:v>
      </x:c>
      <x:c r="B55" s="76" t="n">
        <x:v>44651</x:v>
      </x:c>
      <x:c r="C55" s="80" t="n">
        <x:v>107.29</x:v>
      </x:c>
      <x:c r="D55" s="83" t="n">
        <x:v>3.835</x:v>
      </x:c>
      <x:c r="E55" s="87" t="n">
        <x:v>57.66</x:v>
      </x:c>
      <x:c r="F55" s="88" t="n">
        <x:v>0.17</x:v>
      </x:c>
    </x:row>
    <x:row r="56">
      <x:c r="A56" s="75" t="n">
        <x:v>44681</x:v>
      </x:c>
      <x:c r="B56" s="76" t="n">
        <x:v>44680</x:v>
      </x:c>
      <x:c r="C56" s="80" t="n">
        <x:v>108.36</x:v>
      </x:c>
      <x:c r="D56" s="83" t="n">
        <x:v>4.529</x:v>
      </x:c>
      <x:c r="E56" s="87" t="n">
        <x:v>53.1</x:v>
      </x:c>
      <x:c r="F56" s="88" t="n">
        <x:v>0.37</x:v>
      </x:c>
    </x:row>
    <x:row r="57">
      <x:c r="A57" s="75" t="n">
        <x:v>44712</x:v>
      </x:c>
      <x:c r="B57" s="76" t="n">
        <x:v>44712</x:v>
      </x:c>
      <x:c r="C57" s="80" t="n">
        <x:v>125.53</x:v>
      </x:c>
      <x:c r="D57" s="83" t="n">
        <x:v>3.815</x:v>
      </x:c>
      <x:c r="E57" s="87" t="n">
        <x:v>49.82</x:v>
      </x:c>
      <x:c r="F57" s="88" t="n">
        <x:v>0.73</x:v>
      </x:c>
    </x:row>
    <x:row r="58">
      <x:c r="A58" s="75" t="n">
        <x:v>44742</x:v>
      </x:c>
      <x:c r="B58" s="76" t="n">
        <x:v>44742</x:v>
      </x:c>
      <x:c r="C58" s="80" t="n">
        <x:v>119.78</x:v>
      </x:c>
      <x:c r="D58" s="83" t="n">
        <x:v>3.753</x:v>
      </x:c>
      <x:c r="E58" s="87" t="n">
        <x:v>48.9</x:v>
      </x:c>
      <x:c r="F58" s="88" t="n">
        <x:v>1.28</x:v>
      </x:c>
    </x:row>
    <x:row r="59">
      <x:c r="A59" s="75" t="n">
        <x:v>44773</x:v>
      </x:c>
      <x:c r="B59" s="76" t="n">
        <x:v>44771</x:v>
      </x:c>
      <x:c r="C59" s="80" t="n">
        <x:v>111.51</x:v>
      </x:c>
      <x:c r="D59" s="83" t="n">
        <x:v>3.402</x:v>
      </x:c>
      <x:c r="E59" s="87" t="n">
        <x:v>46.19</x:v>
      </x:c>
      <x:c r="F59" s="88" t="n">
        <x:v>2.22</x:v>
      </x:c>
    </x:row>
    <x:row r="60">
      <x:c r="A60" s="75" t="n">
        <x:v>44804</x:v>
      </x:c>
      <x:c r="B60" s="76" t="n">
        <x:v>44804</x:v>
      </x:c>
      <x:c r="C60" s="80" t="n">
        <x:v>96.55</x:v>
      </x:c>
      <x:c r="D60" s="83" t="n">
        <x:v>3.422</x:v>
      </x:c>
      <x:c r="E60" s="87" t="n">
        <x:v>52.11</x:v>
      </x:c>
      <x:c r="F60" s="88" t="n">
        <x:v>2.4</x:v>
      </x:c>
    </x:row>
    <x:row r="61">
      <x:c r="A61" s="75" t="n">
        <x:v>44834</x:v>
      </x:c>
      <x:c r="B61" s="76" t="n">
        <x:v>44834</x:v>
      </x:c>
      <x:c r="C61" s="80" t="n">
        <x:v>88.9</x:v>
      </x:c>
      <x:c r="D61" s="83" t="n">
        <x:v>3.522</x:v>
      </x:c>
      <x:c r="E61" s="87" t="n">
        <x:v>55.69</x:v>
      </x:c>
      <x:c r="F61" s="88" t="n">
        <x:v>2.79</x:v>
      </x:c>
    </x:row>
    <x:row r="62">
      <x:c r="A62" s="75" t="n">
        <x:v>44865</x:v>
      </x:c>
      <x:c r="B62" s="76" t="n">
        <x:v>44865</x:v>
      </x:c>
      <x:c r="C62" s="80" t="n">
        <x:v>93.3</x:v>
      </x:c>
      <x:c r="D62" s="83" t="n">
        <x:v>4.183</x:v>
      </x:c>
      <x:c r="E62" s="87" t="n">
        <x:v>47.41</x:v>
      </x:c>
      <x:c r="F62" s="88" t="n">
        <x:v>3.73</x:v>
      </x:c>
    </x:row>
    <x:row r="63">
      <x:c r="A63" s="75" t="n">
        <x:v>44895</x:v>
      </x:c>
      <x:c r="B63" s="76" t="n">
        <x:v>44895</x:v>
      </x:c>
      <x:c r="C63" s="80" t="n">
        <x:v>85.61</x:v>
      </x:c>
      <x:c r="D63" s="83" t="n">
        <x:v>2.935</x:v>
      </x:c>
      <x:c r="E63" s="87" t="n">
        <x:v>46.15</x:v>
      </x:c>
      <x:c r="F63" s="88" t="n">
        <x:v>4.07</x:v>
      </x:c>
    </x:row>
    <x:row r="64">
      <x:c r="A64" s="75" t="n">
        <x:v>44926</x:v>
      </x:c>
      <x:c r="B64" s="76" t="n">
        <x:v>44925</x:v>
      </x:c>
      <x:c r="C64" s="80" t="n">
        <x:v>82.82</x:v>
      </x:c>
      <x:c r="D64" s="83" t="n">
        <x:v>3.333</x:v>
      </x:c>
      <x:c r="E64" s="87" t="n">
        <x:v>41.26</x:v>
      </x:c>
      <x:c r="F64" s="88" t="n">
        <x:v>4.12</x:v>
      </x:c>
    </x:row>
    <x:row r="65">
      <x:c r="A65" s="75" t="n">
        <x:v>44957</x:v>
      </x:c>
      <x:c r="B65" s="76" t="n">
        <x:v>44957</x:v>
      </x:c>
      <x:c r="C65" s="80" t="n">
        <x:v>83.42</x:v>
      </x:c>
      <x:c r="D65" s="83" t="n">
        <x:v>3.437</x:v>
      </x:c>
      <x:c r="E65" s="87" t="n">
        <x:v>38.55</x:v>
      </x:c>
      <x:c r="F65" s="88" t="n">
        <x:v>4.58</x:v>
      </x:c>
    </x:row>
    <x:row r="66">
      <x:c r="A66" s="75" t="n">
        <x:v>44985</x:v>
      </x:c>
      <x:c r="B66" s="76" t="n">
        <x:v>44985</x:v>
      </x:c>
      <x:c r="C66" s="80" t="n">
        <x:v>83.21</x:v>
      </x:c>
      <x:c r="D66" s="83" t="n">
        <x:v>2.973</x:v>
      </x:c>
      <x:c r="E66" s="87" t="n">
        <x:v>35.42</x:v>
      </x:c>
      <x:c r="F66" s="88" t="n">
        <x:v>4.65</x:v>
      </x:c>
    </x:row>
    <x:row r="67">
      <x:c r="A67" s="75" t="n">
        <x:v>45016</x:v>
      </x:c>
      <x:c r="B67" s="76" t="n">
        <x:v>45016</x:v>
      </x:c>
      <x:c r="C67" s="80" t="n">
        <x:v>79.19</x:v>
      </x:c>
      <x:c r="D67" s="83" t="n">
        <x:v>2.541</x:v>
      </x:c>
      <x:c r="E67" s="87" t="n">
        <x:v>40.34</x:v>
      </x:c>
      <x:c r="F67" s="88" t="n">
        <x:v>4.74</x:v>
      </x:c>
    </x:row>
    <x:row r="68">
      <x:c r="A68" s="75" t="n">
        <x:v>45046</x:v>
      </x:c>
      <x:c r="B68" s="76" t="n">
        <x:v>45044</x:v>
      </x:c>
      <x:c r="C68" s="80" t="n">
        <x:v>81.32</x:v>
      </x:c>
      <x:c r="D68" s="83" t="n">
        <x:v>2.159</x:v>
      </x:c>
      <x:c r="E68" s="87" t="n">
        <x:v>35.63</x:v>
      </x:c>
      <x:c r="F68" s="88" t="n">
        <x:v>4.35</x:v>
      </x:c>
    </x:row>
    <x:row r="69">
      <x:c r="A69" s="75" t="n">
        <x:v>45077</x:v>
      </x:c>
      <x:c r="B69" s="76" t="n">
        <x:v>45077</x:v>
      </x:c>
      <x:c r="C69" s="80" t="n">
        <x:v>71.98</x:v>
      </x:c>
      <x:c r="D69" s="83" t="n">
        <x:v>2.091</x:v>
      </x:c>
      <x:c r="E69" s="87" t="n">
        <x:v>40.68</x:v>
      </x:c>
      <x:c r="F69" s="88" t="n">
        <x:v>5.28</x:v>
      </x:c>
    </x:row>
    <x:row r="70">
      <x:c r="A70" s="75" t="n">
        <x:v>45107</x:v>
      </x:c>
      <x:c r="B70" s="76" t="n">
        <x:v>45107</x:v>
      </x:c>
      <x:c r="C70" s="80" t="n">
        <x:v>74.51</x:v>
      </x:c>
      <x:c r="D70" s="83" t="n">
        <x:v>2.246</x:v>
      </x:c>
      <x:c r="E70" s="87" t="n">
        <x:v>33.28</x:v>
      </x:c>
      <x:c r="F70" s="88" t="n">
        <x:v>5.24</x:v>
      </x:c>
    </x:row>
    <x:row r="71">
      <x:c r="A71" s="75" t="n">
        <x:v>45138</x:v>
      </x:c>
      <x:c r="B71" s="76" t="n">
        <x:v>45138</x:v>
      </x:c>
      <x:c r="C71" s="80" t="n">
        <x:v>85.22</x:v>
      </x:c>
      <x:c r="D71" s="83" t="n">
        <x:v>2.86</x:v>
      </x:c>
      <x:c r="E71" s="87" t="n">
        <x:v>28.48</x:v>
      </x:c>
      <x:c r="F71" s="88" t="n">
        <x:v>5.48</x:v>
      </x:c>
    </x:row>
    <x:row r="72">
      <x:c r="A72" s="75" t="n">
        <x:v>45169</x:v>
      </x:c>
      <x:c r="B72" s="76" t="n">
        <x:v>45169</x:v>
      </x:c>
      <x:c r="C72" s="80" t="n">
        <x:v>87.29</x:v>
      </x:c>
      <x:c r="D72" s="83" t="n">
        <x:v>3.006</x:v>
      </x:c>
      <x:c r="E72" s="87" t="n">
        <x:v>26.56</x:v>
      </x:c>
      <x:c r="F72" s="88" t="n">
        <x:v>5.52</x:v>
      </x:c>
    </x:row>
    <x:row r="73">
      <x:c r="A73" s="75" t="n">
        <x:v>45199</x:v>
      </x:c>
      <x:c r="B73" s="76" t="n">
        <x:v>45198</x:v>
      </x:c>
      <x:c r="C73" s="80" t="n">
        <x:v>95.86</x:v>
      </x:c>
      <x:c r="D73" s="83" t="n">
        <x:v>3.162</x:v>
      </x:c>
      <x:c r="E73" s="87" t="n">
        <x:v>32.24</x:v>
      </x:c>
      <x:c r="F73" s="88" t="n">
        <x:v>5.55</x:v>
      </x:c>
    </x:row>
    <x:row r="74">
      <x:c r="A74" s="75" t="n">
        <x:v>45230</x:v>
      </x:c>
      <x:c r="B74" s="76" t="n">
        <x:v>45230</x:v>
      </x:c>
      <x:c r="C74" s="80" t="n">
        <x:v>86.82</x:v>
      </x:c>
      <x:c r="D74" s="83" t="n">
        <x:v>2.869</x:v>
      </x:c>
      <x:c r="E74" s="87" t="n">
        <x:v>41.99</x:v>
      </x:c>
      <x:c r="F74" s="88" t="n">
        <x:v>5.56</x:v>
      </x:c>
    </x:row>
    <x:row r="75">
      <x:c r="A75" s="75" t="n">
        <x:v>45260</x:v>
      </x:c>
      <x:c r="B75" s="76" t="n">
        <x:v>45260</x:v>
      </x:c>
      <x:c r="C75" s="80" t="n">
        <x:v>81.72</x:v>
      </x:c>
      <x:c r="D75" s="83" t="n">
        <x:v>2.476</x:v>
      </x:c>
      <x:c r="E75" s="87" t="n">
        <x:v>39.4</x:v>
      </x:c>
      <x:c r="F75" s="88" t="n">
        <x:v>5.56</x:v>
      </x:c>
    </x:row>
    <x:row r="76">
      <x:c r="A76" s="75" t="n">
        <x:v>45291</x:v>
      </x:c>
      <x:c r="B76" s="76" t="n">
        <x:v>45289</x:v>
      </x:c>
      <x:c r="C76" s="80" t="n">
        <x:v>77.69</x:v>
      </x:c>
      <x:c r="D76" s="83" t="n">
        <x:v>2.365</x:v>
      </x:c>
      <x:c r="E76" s="87" t="n">
        <x:v>36.22</x:v>
      </x:c>
      <x:c r="F76" s="88" t="n">
        <x:v>5.6</x:v>
      </x:c>
    </x:row>
    <x:row r="77">
      <x:c r="A77" s="75" t="n">
        <x:v>45322</x:v>
      </x:c>
      <x:c r="B77" s="76" t="n">
        <x:v>45322</x:v>
      </x:c>
      <x:c r="C77" s="80" t="n">
        <x:v>82.98</x:v>
      </x:c>
      <x:c r="D77" s="83" t="n">
        <x:v>2.7</x:v>
      </x:c>
      <x:c r="E77" s="87" t="n">
        <x:v>37.25</x:v>
      </x:c>
      <x:c r="F77" s="88" t="n">
        <x:v>5.53</x:v>
      </x:c>
    </x:row>
    <x:row r="78">
      <x:c r="A78" s="75" t="n">
        <x:v>45351</x:v>
      </x:c>
      <x:c r="B78" s="76" t="n">
        <x:v>45351</x:v>
      </x:c>
      <x:c r="C78" s="80" t="n">
        <x:v>84.57</x:v>
      </x:c>
      <x:c r="D78" s="83" t="n">
        <x:v>2.552</x:v>
      </x:c>
      <x:c r="E78" s="87" t="n">
        <x:v>31.5</x:v>
      </x:c>
      <x:c r="F78" s="88" t="n">
        <x:v>5.53</x:v>
      </x:c>
    </x:row>
    <x:row r="79">
      <x:c r="A79" s="75" t="n">
        <x:v>45382</x:v>
      </x:c>
      <x:c r="B79" s="76" t="n">
        <x:v>45379</x:v>
      </x:c>
      <x:c r="C79" s="80" t="n">
        <x:v>86.17</x:v>
      </x:c>
      <x:c r="D79" s="83" t="n">
        <x:v>2.526</x:v>
      </x:c>
      <x:c r="E79" s="87" t="n">
        <x:v>26.27</x:v>
      </x:c>
      <x:c r="F79" s="88" t="n">
        <x:v>5.49</x:v>
      </x:c>
    </x:row>
    <x:row r="80">
      <x:c r="A80" s="75" t="n">
        <x:v>45412</x:v>
      </x:c>
      <x:c r="B80" s="76" t="n">
        <x:v>45412</x:v>
      </x:c>
      <x:c r="C80" s="80" t="n">
        <x:v>88.23</x:v>
      </x:c>
      <x:c r="D80" s="83" t="n">
        <x:v>2.47</x:v>
      </x:c>
      <x:c r="E80" s="87" t="n">
        <x:v>27.87</x:v>
      </x:c>
      <x:c r="F80" s="88" t="n">
        <x:v>5.48</x:v>
      </x:c>
    </x:row>
    <x:row r="81">
      <x:c r="A81" s="75" t="n">
        <x:v>45443</x:v>
      </x:c>
      <x:c r="B81" s="76" t="n">
        <x:v>45443</x:v>
      </x:c>
      <x:c r="C81" s="80" t="n">
        <x:v>79.41</x:v>
      </x:c>
      <x:c r="D81" s="83" t="n">
        <x:v>2.291</x:v>
      </x:c>
      <x:c r="E81" s="87" t="n">
        <x:v>30.34</x:v>
      </x:c>
      <x:c r="F81" s="88" t="n">
        <x:v>5.48</x:v>
      </x:c>
    </x:row>
    <x:row r="82">
      <x:c r="A82" s="75" t="n">
        <x:v>45473</x:v>
      </x:c>
      <x:c r="B82" s="76" t="n">
        <x:v>45471</x:v>
      </x:c>
      <x:c r="C82" s="80" t="n">
        <x:v>87.26</x:v>
      </x:c>
      <x:c r="D82" s="83" t="n">
        <x:v>2.467</x:v>
      </x:c>
      <x:c r="E82" s="87" t="n">
        <x:v>26.54</x:v>
      </x:c>
      <x:c r="F82" s="88" t="n">
        <x:v>5.47</x:v>
      </x:c>
    </x:row>
    <x:row r="83">
      <x:c r="A83" s="75" t="n">
        <x:v>45504</x:v>
      </x:c>
      <x:c r="B83" s="76" t="n">
        <x:v>45504</x:v>
      </x:c>
      <x:c r="C83" s="80" t="n">
        <x:v>81.39</x:v>
      </x:c>
      <x:c r="D83" s="83" t="n">
        <x:v>2.28</x:v>
      </x:c>
      <x:c r="E83" s="87" t="n">
        <x:v>33.69</x:v>
      </x:c>
      <x:c r="F83" s="88" t="n">
        <x:v>5.49</x:v>
      </x:c>
    </x:row>
    <x:row r="84">
      <x:c r="A84" s="75" t="n">
        <x:v>45535</x:v>
      </x:c>
      <x:c r="B84" s="76" t="n">
        <x:v>45534</x:v>
      </x:c>
      <x:c r="C84" s="80" t="n">
        <x:v>80.2</x:v>
      </x:c>
      <x:c r="D84" s="83" t="n">
        <x:v>2.127</x:v>
      </x:c>
      <x:c r="E84" s="87" t="n">
        <x:v>33.36</x:v>
      </x:c>
      <x:c r="F84" s="88" t="n">
        <x:v>5.41</x:v>
      </x:c>
    </x:row>
    <x:row r="85">
      <x:c r="A85" s="75" t="n">
        <x:v>45565</x:v>
      </x:c>
      <x:c r="B85" s="76" t="n">
        <x:v>45565</x:v>
      </x:c>
      <x:c r="C85" s="80" t="n">
        <x:v>72.35</x:v>
      </x:c>
      <x:c r="D85" s="83" t="n">
        <x:v>1.968</x:v>
      </x:c>
      <x:c r="E85" s="87" t="n">
        <x:v>39.86</x:v>
      </x:c>
      <x:c r="F85" s="88" t="n">
        <x:v>4.93</x:v>
      </x:c>
    </x:row>
    <x:row r="86">
      <x:c r="A86" s="75" t="n">
        <x:v>45596</x:v>
      </x:c>
      <x:c r="B86" s="76" t="n">
        <x:v>45596</x:v>
      </x:c>
      <x:c r="C86" s="80" t="n">
        <x:v>73.25</x:v>
      </x:c>
      <x:c r="D86" s="83" t="n">
        <x:v>2.076</x:v>
      </x:c>
      <x:c r="E86" s="87" t="n">
        <x:v>48.79</x:v>
      </x:c>
      <x:c r="F86" s="88" t="n">
        <x:v>4.76</x:v>
      </x:c>
    </x:row>
    <x:row r="87">
      <x:c r="A87" s="75" t="n">
        <x:v>45626</x:v>
      </x:c>
      <x:c r="B87" s="76" t="n">
        <x:v>45625</x:v>
      </x:c>
      <x:c r="C87" s="80" t="n">
        <x:v>74.16</x:v>
      </x:c>
      <x:c r="D87" s="83" t="n">
        <x:v>2.04</x:v>
      </x:c>
      <x:c r="E87" s="87" t="n">
        <x:v>34.95</x:v>
      </x:c>
      <x:c r="F87" s="88" t="n">
        <x:v>4.76</x:v>
      </x:c>
    </x:row>
    <x:row r="88">
      <x:c r="A88" s="75" t="n">
        <x:v>45657</x:v>
      </x:c>
      <x:c r="B88" s="76" t="n">
        <x:v>45657</x:v>
      </x:c>
      <x:c r="C88" s="80" t="n">
        <x:v>74.58</x:v>
      </x:c>
      <x:c r="D88" s="83" t="n">
        <x:v>2.228</x:v>
      </x:c>
      <x:c r="E88" s="87" t="n">
        <x:v>30.02</x:v>
      </x:c>
      <x:c r="F88" s="88" t="n">
        <x:v>4.4</x:v>
      </x:c>
    </x:row>
    <x:row r="89">
      <x:c r="A89" s="75" t="n">
        <x:v>45688</x:v>
      </x:c>
      <x:c r="B89" s="76" t="n">
        <x:v>45688</x:v>
      </x:c>
      <x:c r="C89" s="80" t="n">
        <x:v>77.11</x:v>
      </x:c>
      <x:c r="D89" s="83" t="n">
        <x:v>2.302</x:v>
      </x:c>
      <x:c r="E89" s="87" t="n">
        <x:v>29.96</x:v>
      </x:c>
      <x:c r="F89" s="88" t="n">
        <x:v>4.37</x:v>
      </x:c>
    </x:row>
    <x:row r="90">
      <x:c r="A90" s="75" t="n">
        <x:v>45716</x:v>
      </x:c>
      <x:c r="B90" s="76" t="n">
        <x:v>45716</x:v>
      </x:c>
      <x:c r="C90" s="80" t="n">
        <x:v>74.76</x:v>
      </x:c>
      <x:c r="D90" s="83" t="n">
        <x:v>2.145</x:v>
      </x:c>
      <x:c r="E90" s="87" t="n">
        <x:v>29.97</x:v>
      </x:c>
      <x:c r="F90" s="88" t="n">
        <x:v>4.38</x:v>
      </x:c>
    </x:row>
    <x:row r="91">
      <x:c r="A91" s="75" t="n">
        <x:v>45747</x:v>
      </x:c>
      <x:c r="B91" s="76" t="n">
        <x:v>45747</x:v>
      </x:c>
      <x:c r="C91" s="80" t="n">
        <x:v>77.23</x:v>
      </x:c>
      <x:c r="D91" s="83" t="n">
        <x:v>2.135</x:v>
      </x:c>
      <x:c r="E91" s="87" t="n">
        <x:v>30.88</x:v>
      </x:c>
      <x:c r="F91" s="88" t="n">
        <x:v>4.38</x:v>
      </x:c>
    </x:row>
    <x:row r="92">
      <x:c r="A92" s="75" t="n">
        <x:v>45777</x:v>
      </x:c>
      <x:c r="B92" s="76" t="n">
        <x:v>45777</x:v>
      </x:c>
      <x:c r="C92" s="80" t="n">
        <x:v>63.37</x:v>
      </x:c>
      <x:c r="D92" s="83" t="n">
        <x:v>1.909</x:v>
      </x:c>
      <x:c r="E92" s="87" t="n">
        <x:v>54.46</x:v>
      </x:c>
      <x:c r="F92" s="88" t="n">
        <x:v>4.35</x:v>
      </x:c>
    </x:row>
    <x:row r="93">
      <x:c r="A93" s="75" t="n">
        <x:v>45808</x:v>
      </x:c>
      <x:c r="B93" s="76" t="n">
        <x:v>45807</x:v>
      </x:c>
      <x:c r="C93" s="80" t="n">
        <x:v>64.32</x:v>
      </x:c>
      <x:c r="D93" s="83" t="n">
        <x:v>1.846</x:v>
      </x:c>
      <x:c r="E93" s="87" t="n">
        <x:v>40.71</x:v>
      </x:c>
      <x:c r="F93" s="88" t="n">
        <x:v>4.33</x:v>
      </x:c>
    </x:row>
    <x:row r="94">
      <x:c r="A94" s="75" t="n">
        <x:v>45838</x:v>
      </x:c>
      <x:c r="B94" s="76" t="n">
        <x:v>45838</x:v>
      </x:c>
      <x:c r="C94" s="80" t="n">
        <x:v>68.15</x:v>
      </x:c>
      <x:c r="D94" s="83" t="n">
        <x:v>2.177</x:v>
      </x:c>
      <x:c r="E94" s="87" t="n">
        <x:v>38.89</x:v>
      </x:c>
      <x:c r="F94" s="88" t="n">
        <x:v>4.28</x:v>
      </x:c>
    </x:row>
    <x:row r="95">
      <x:c r="A95" s="75" t="n">
        <x:v>45869</x:v>
      </x:c>
      <x:c r="B95" s="76" t="n">
        <x:v>45869</x:v>
      </x:c>
      <x:c r="C95" s="80" t="n">
        <x:v>73.43</x:v>
      </x:c>
      <x:c r="D95" s="83" t="n">
        <x:v>2.148</x:v>
      </x:c>
      <x:c r="E95" s="87" t="n">
        <x:v>36.78</x:v>
      </x:c>
      <x:c r="F95" s="88" t="n">
        <x:v>4.49</x:v>
      </x:c>
    </x:row>
    <x:row r="96">
      <x:c r="A96" s="75" t="n">
        <x:v>45900</x:v>
      </x:c>
      <x:c r="B96" s="76" t="n">
        <x:v>45898</x:v>
      </x:c>
      <x:c r="C96" s="80" t="n">
        <x:v>67.83</x:v>
      </x:c>
      <x:c r="D96" s="83" t="n">
        <x:v>2.02</x:v>
      </x:c>
      <x:c r="E96" s="87" t="n">
        <x:v>32.63</x:v>
      </x:c>
      <x:c r="F96" s="88" t="n">
        <x:v>4.41</x:v>
      </x:c>
    </x:row>
    <x:row r="97">
      <x:c r="A97" s="75" t="n">
        <x:v>45930</x:v>
      </x:c>
      <x:c r="B97" s="76" t="n">
        <x:v>45930</x:v>
      </x:c>
      <x:c r="C97" s="80" t="n">
        <x:v>68.52</x:v>
      </x:c>
      <x:c r="D97" s="83" t="n">
        <x:v>2.076</x:v>
      </x:c>
      <x:c r="E97" s="87" t="n">
        <x:v>35.58</x:v>
      </x:c>
      <x:c r="F97" s="88" t="n">
        <x:v>4.2</x:v>
      </x:c>
    </x:row>
    <x:row r="98">
      <x:c r="A98" s="75" t="n">
        <x:v>45961</x:v>
      </x:c>
      <x:c r="B98" s="76" t="n">
        <x:v>45961</x:v>
      </x:c>
      <x:c r="C98" s="80" t="n">
        <x:v>65.44</x:v>
      </x:c>
      <x:c r="D98" s="83" t="n">
        <x:v>2.245</x:v>
      </x:c>
      <x:c r="E98" s="87" t="n">
        <x:v>36.2</x:v>
      </x:c>
      <x:c r="F98" s="88" t="n">
        <x:v>4.06</x:v>
      </x:c>
    </x:row>
    <x:row r="99">
      <x:c r="A99" s="75" t="n">
        <x:v>45991</x:v>
      </x:c>
      <x:c r="B99" s="76" t="n">
        <x:v>45989</x:v>
      </x:c>
      <x:c r="C99" s="80" t="n">
        <x:v>64.07</x:v>
      </x:c>
      <x:c r="D99" s="83" t="n">
        <x:v>2.05</x:v>
      </x:c>
      <x:c r="E99" s="87" t="n">
        <x:v>35.95</x:v>
      </x:c>
      <x:c r="F99" s="88" t="n">
        <x:v>4.05</x:v>
      </x:c>
    </x:row>
    <x:row r="100">
      <x:c r="A100" s="75" t="n">
        <x:v>46022</x:v>
      </x:c>
      <x:c r="B100" s="76" t="n">
        <x:v>46022</x:v>
      </x:c>
      <x:c r="C100" s="80" t="n">
        <x:v>61.35</x:v>
      </x:c>
      <x:c r="D100" s="83" t="n">
        <x:v>1.911</x:v>
      </x:c>
      <x:c r="E100" s="87" t="n">
        <x:v>30.17</x:v>
      </x:c>
      <x:c r="F100" s="88" t="n">
        <x:v>3.74</x:v>
      </x:c>
    </x:row>
    <x:row r="101">
      <x:c r="A101" s="75" t="n">
        <x:v>46053</x:v>
      </x:c>
      <x:c r="B101" s="76" t="n">
        <x:v>46052</x:v>
      </x:c>
      <x:c r="C101" s="80" t="n">
        <x:v>72.25</x:v>
      </x:c>
      <x:c r="D101" s="83" t="n">
        <x:v>2.277</x:v>
      </x:c>
      <x:c r="E101" s="87" t="n">
        <x:v>55.91</x:v>
      </x:c>
      <x:c r="F101" s="88" t="n">
        <x:v>3.72</x:v>
      </x:c>
    </x:row>
    <x:row r="102">
      <x:c r="A102" s="75" t="n">
        <x:v>46081</x:v>
      </x:c>
      <x:c r="B102" s="76" t="n">
        <x:v>46080</x:v>
      </x:c>
      <x:c r="C102" s="80" t="n">
        <x:v>71.32</x:v>
      </x:c>
      <x:c r="D102" s="83" t="n">
        <x:v>2.428</x:v>
      </x:c>
      <x:c r="E102" s="87" t="n">
        <x:v>64.68</x:v>
      </x:c>
      <x:c r="F102" s="88" t="n">
        <x:v>3.74</x:v>
      </x:c>
    </x:row>
    <x:row r="103">
      <x:c r="A103" s="75" t="n">
        <x:v>46112</x:v>
      </x:c>
      <x:c r="B103" s="76" t="n">
        <x:v>46112</x:v>
      </x:c>
      <x:c r="C103" s="80" t="n">
        <x:v>126.69</x:v>
      </x:c>
      <x:c r="D103" s="83" t="n">
        <x:v>3.965</x:v>
      </x:c>
      <x:c r="E103" s="87" t="n">
        <x:v>89.39</x:v>
      </x:c>
      <x:c r="F103" s="88" t="n">
        <x:v>3.74</x:v>
      </x:c>
    </x:row>
    <x:row r="104">
      <x:c r="A104" s="75" t="n">
        <x:v>46142</x:v>
      </x:c>
      <x:c r="B104" s="76" t="n">
        <x:v>46142</x:v>
      </x:c>
      <x:c r="C104" s="80" t="n">
        <x:v>124.24</x:v>
      </x:c>
      <x:c r="D104" s="83" t="n">
        <x:v>4.287</x:v>
      </x:c>
      <x:c r="E104" s="87" t="n">
        <x:v>75.08</x:v>
      </x:c>
      <x:c r="F104" s="88" t="n">
        <x:v>3.72</x:v>
      </x:c>
    </x:row>
    <x:row r="105">
      <x:c r="A105" s="75" t="n">
        <x:v>46173</x:v>
      </x:c>
      <x:c r="B105" s="76" t="n">
        <x:v>46171</x:v>
      </x:c>
      <x:c r="C105" s="80" t="n">
        <x:v>92.88</x:v>
      </x:c>
      <x:c r="D105" s="83" t="n">
        <x:v>3.237</x:v>
      </x:c>
      <x:c r="E105" s="87" t="n">
        <x:v>57.84</x:v>
      </x:c>
      <x:c r="F105" s="88" t="n">
        <x:v>3.72</x:v>
      </x:c>
    </x:row>
    <x:row r="106">
      <x:c r="A106" s="75" t="n">
        <x:v>46203</x:v>
      </x:c>
      <x:c r="B106" s="76" t="n">
        <x:v>46203</x:v>
      </x:c>
      <x:c r="C106" s="80" t="n">
        <x:v>70.46</x:v>
      </x:c>
      <x:c r="D106" s="83" t="n">
        <x:v>2.867</x:v>
      </x:c>
      <x:c r="E106" s="87" t="n">
        <x:v>43.17</x:v>
      </x:c>
      <x:c r="F106" s="88" t="n">
        <x:v>3.7</x:v>
      </x:c>
    </x:row>
    <x:row r="107">
      <x:c r="A107" s="77" t="n">
        <x:v>46234</x:v>
      </x:c>
      <x:c r="B107" s="78" t="n">
        <x:v>46230</x:v>
      </x:c>
      <x:c r="C107" s="81" t="n">
        <x:v>91.82</x:v>
      </x:c>
      <x:c r="D107" s="84" t="n">
        <x:v>3.582</x:v>
      </x:c>
      <x:c r="E107" s="89" t="n">
        <x:v>60.62</x:v>
      </x:c>
      <x:c r="F107" s="90" t="n">
        <x:v>3.8</x:v>
      </x:c>
    </x:row>
  </x:sheetData>
  <x:mergeCells>
    <x:mergeCell ref="A1:F1"/>
    <x:mergeCell ref="A2:F2"/>
  </x:mergeCells>
  <x:pageMargins left="0.7" right="0.7" top="0.75" bottom="0.75" header="0.3" footer="0.3"/>
  <x:legacyDrawing xmlns:r="http://schemas.openxmlformats.org/officeDocument/2006/relationships" r:id="R36aeb8fb48db4ea9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</x:cols>
  <x:sheetData>
    <x:row r="1" ht="34" customHeight="1">
      <x:c r="A1" s="3" t="str">
        <x:v>AUDIT INPUTS</x:v>
      </x:c>
      <x:c r="B1" s="3" t="str">
        <x:v>AUDIT INPUTS</x:v>
      </x:c>
      <x:c r="C1" s="3" t="str">
        <x:v>AUDIT INPUTS</x:v>
      </x:c>
      <x:c r="D1" s="3" t="str">
        <x:v>AUDIT INPUTS</x:v>
      </x:c>
      <x:c r="E1" s="3" t="str">
        <x:v>AUDIT INPUTS</x:v>
      </x:c>
      <x:c r="F1" s="3" t="str">
        <x:v>AUDIT INPUTS</x:v>
      </x:c>
      <x:c r="G1" s="3" t="str">
        <x:v>AUDIT INPUTS</x:v>
      </x:c>
      <x:c r="H1" s="3" t="str">
        <x:v>AUDIT INPUTS</x:v>
      </x:c>
      <x:c r="I1" s="3" t="str">
        <x:v>AUDIT INPUTS</x:v>
      </x:c>
      <x:c r="J1" s="3" t="str">
        <x:v>AUDIT INPUTS</x:v>
      </x:c>
    </x:row>
    <x:row r="2" ht="30" customHeight="1">
      <x:c r="A2" s="7" t="str">
        <x:v>Exactly 35 monthly periods after the 2023-07-31 lock date; all market observations are historical values.</x:v>
      </x:c>
      <x:c r="B2" s="7" t="str">
        <x:v>Exactly 35 monthly periods after the 2023-07-31 lock date; all market observations are historical values.</x:v>
      </x:c>
      <x:c r="C2" s="7" t="str">
        <x:v>Exactly 35 monthly periods after the 2023-07-31 lock date; all market observations are historical values.</x:v>
      </x:c>
      <x:c r="D2" s="7" t="str">
        <x:v>Exactly 35 monthly periods after the 2023-07-31 lock date; all market observations are historical values.</x:v>
      </x:c>
      <x:c r="E2" s="7" t="str">
        <x:v>Exactly 35 monthly periods after the 2023-07-31 lock date; all market observations are historical values.</x:v>
      </x:c>
      <x:c r="F2" s="7" t="str">
        <x:v>Exactly 35 monthly periods after the 2023-07-31 lock date; all market observations are historical values.</x:v>
      </x:c>
      <x:c r="G2" s="7" t="str">
        <x:v>Exactly 35 monthly periods after the 2023-07-31 lock date; all market observations are historical values.</x:v>
      </x:c>
      <x:c r="H2" s="7" t="str">
        <x:v>Exactly 35 monthly periods after the 2023-07-31 lock date; all market observations are historical values.</x:v>
      </x:c>
      <x:c r="I2" s="7" t="str">
        <x:v>Exactly 35 monthly periods after the 2023-07-31 lock date; all market observations are historical values.</x:v>
      </x:c>
      <x:c r="J2" s="7" t="str">
        <x:v>Exactly 35 monthly periods after the 2023-07-31 lock date; all market observations are historical values.</x:v>
      </x:c>
    </x:row>
    <x:row r="3">
      <x:c r="A3" s="458"/>
      <x:c r="B3" s="458"/>
      <x:c r="C3" s="458"/>
      <x:c r="D3" s="458"/>
      <x:c r="E3" s="458"/>
      <x:c r="F3" s="458"/>
      <x:c r="G3" s="458"/>
      <x:c r="H3" s="458"/>
      <x:c r="I3" s="458"/>
      <x:c r="J3" s="458"/>
    </x:row>
    <x:row r="4">
      <x:c r="A4" s="12" t="str">
        <x:v>Start month</x:v>
      </x:c>
      <x:c r="B4" s="12" t="str">
        <x:v>End month</x:v>
      </x:c>
      <x:c r="C4" s="12" t="str">
        <x:v>Start observed</x:v>
      </x:c>
      <x:c r="D4" s="12" t="str">
        <x:v>End observed</x:v>
      </x:c>
      <x:c r="E4" s="12" t="str">
        <x:v>Brent entry</x:v>
      </x:c>
      <x:c r="F4" s="12" t="str">
        <x:v>Brent settle</x:v>
      </x:c>
      <x:c r="G4" s="12" t="str">
        <x:v>Jet fuel settle</x:v>
      </x:c>
      <x:c r="H4" s="12" t="str">
        <x:v>OVX</x:v>
      </x:c>
      <x:c r="I4" s="12" t="str">
        <x:v>1M rate</x:v>
      </x:c>
      <x:c r="J4" s="12" t="str">
        <x:v>Solved collar put K</x:v>
      </x:c>
    </x:row>
    <x:row r="5">
      <x:c r="A5" s="73" t="n">
        <x:v>45138</x:v>
      </x:c>
      <x:c r="B5" s="74" t="n">
        <x:v>45169</x:v>
      </x:c>
      <x:c r="C5" s="74" t="n">
        <x:v>45138</x:v>
      </x:c>
      <x:c r="D5" s="74" t="n">
        <x:v>45169</x:v>
      </x:c>
      <x:c r="E5" s="79" t="n">
        <x:v>85.22</x:v>
      </x:c>
      <x:c r="F5" s="79" t="n">
        <x:v>87.29</x:v>
      </x:c>
      <x:c r="G5" s="82" t="n">
        <x:v>3.006</x:v>
      </x:c>
      <x:c r="H5" s="85" t="n">
        <x:v>28.48</x:v>
      </x:c>
      <x:c r="I5" s="85" t="n">
        <x:v>5.48</x:v>
      </x:c>
      <x:c r="J5" s="91" t="n">
        <x:v>81.74093245703338</x:v>
      </x:c>
    </x:row>
    <x:row r="6">
      <x:c r="A6" s="75" t="n">
        <x:v>45169</x:v>
      </x:c>
      <x:c r="B6" s="76" t="n">
        <x:v>45199</x:v>
      </x:c>
      <x:c r="C6" s="76" t="n">
        <x:v>45169</x:v>
      </x:c>
      <x:c r="D6" s="76" t="n">
        <x:v>45198</x:v>
      </x:c>
      <x:c r="E6" s="80" t="n">
        <x:v>87.29</x:v>
      </x:c>
      <x:c r="F6" s="80" t="n">
        <x:v>95.86</x:v>
      </x:c>
      <x:c r="G6" s="83" t="n">
        <x:v>3.162</x:v>
      </x:c>
      <x:c r="H6" s="87" t="n">
        <x:v>26.56</x:v>
      </x:c>
      <x:c r="I6" s="87" t="n">
        <x:v>5.52</x:v>
      </x:c>
      <x:c r="J6" s="92" t="n">
        <x:v>83.6795552640829</x:v>
      </x:c>
    </x:row>
    <x:row r="7">
      <x:c r="A7" s="75" t="n">
        <x:v>45199</x:v>
      </x:c>
      <x:c r="B7" s="76" t="n">
        <x:v>45230</x:v>
      </x:c>
      <x:c r="C7" s="76" t="n">
        <x:v>45198</x:v>
      </x:c>
      <x:c r="D7" s="76" t="n">
        <x:v>45230</x:v>
      </x:c>
      <x:c r="E7" s="80" t="n">
        <x:v>95.86</x:v>
      </x:c>
      <x:c r="F7" s="80" t="n">
        <x:v>86.82</x:v>
      </x:c>
      <x:c r="G7" s="83" t="n">
        <x:v>2.869</x:v>
      </x:c>
      <x:c r="H7" s="87" t="n">
        <x:v>32.24</x:v>
      </x:c>
      <x:c r="I7" s="87" t="n">
        <x:v>5.55</x:v>
      </x:c>
      <x:c r="J7" s="92" t="n">
        <x:v>92.00710267447246</x:v>
      </x:c>
    </x:row>
    <x:row r="8">
      <x:c r="A8" s="75" t="n">
        <x:v>45230</x:v>
      </x:c>
      <x:c r="B8" s="76" t="n">
        <x:v>45260</x:v>
      </x:c>
      <x:c r="C8" s="76" t="n">
        <x:v>45230</x:v>
      </x:c>
      <x:c r="D8" s="76" t="n">
        <x:v>45260</x:v>
      </x:c>
      <x:c r="E8" s="80" t="n">
        <x:v>86.82</x:v>
      </x:c>
      <x:c r="F8" s="80" t="n">
        <x:v>81.72</x:v>
      </x:c>
      <x:c r="G8" s="83" t="n">
        <x:v>2.476</x:v>
      </x:c>
      <x:c r="H8" s="87" t="n">
        <x:v>41.99</x:v>
      </x:c>
      <x:c r="I8" s="87" t="n">
        <x:v>5.56</x:v>
      </x:c>
      <x:c r="J8" s="92" t="n">
        <x:v>83.37991143303654</x:v>
      </x:c>
    </x:row>
    <x:row r="9">
      <x:c r="A9" s="75" t="n">
        <x:v>45260</x:v>
      </x:c>
      <x:c r="B9" s="76" t="n">
        <x:v>45291</x:v>
      </x:c>
      <x:c r="C9" s="76" t="n">
        <x:v>45260</x:v>
      </x:c>
      <x:c r="D9" s="76" t="n">
        <x:v>45289</x:v>
      </x:c>
      <x:c r="E9" s="80" t="n">
        <x:v>81.72</x:v>
      </x:c>
      <x:c r="F9" s="80" t="n">
        <x:v>77.69</x:v>
      </x:c>
      <x:c r="G9" s="83" t="n">
        <x:v>2.365</x:v>
      </x:c>
      <x:c r="H9" s="87" t="n">
        <x:v>39.4</x:v>
      </x:c>
      <x:c r="I9" s="87" t="n">
        <x:v>5.56</x:v>
      </x:c>
      <x:c r="J9" s="92" t="n">
        <x:v>78.4440077459436</x:v>
      </x:c>
    </x:row>
    <x:row r="10">
      <x:c r="A10" s="75" t="n">
        <x:v>45291</x:v>
      </x:c>
      <x:c r="B10" s="76" t="n">
        <x:v>45322</x:v>
      </x:c>
      <x:c r="C10" s="76" t="n">
        <x:v>45289</x:v>
      </x:c>
      <x:c r="D10" s="76" t="n">
        <x:v>45322</x:v>
      </x:c>
      <x:c r="E10" s="80" t="n">
        <x:v>77.69</x:v>
      </x:c>
      <x:c r="F10" s="80" t="n">
        <x:v>82.98</x:v>
      </x:c>
      <x:c r="G10" s="83" t="n">
        <x:v>2.7</x:v>
      </x:c>
      <x:c r="H10" s="87" t="n">
        <x:v>36.22</x:v>
      </x:c>
      <x:c r="I10" s="87" t="n">
        <x:v>5.6</x:v>
      </x:c>
      <x:c r="J10" s="92" t="n">
        <x:v>74.61799292806325</x:v>
      </x:c>
    </x:row>
    <x:row r="11">
      <x:c r="A11" s="75" t="n">
        <x:v>45322</x:v>
      </x:c>
      <x:c r="B11" s="76" t="n">
        <x:v>45351</x:v>
      </x:c>
      <x:c r="C11" s="76" t="n">
        <x:v>45322</x:v>
      </x:c>
      <x:c r="D11" s="76" t="n">
        <x:v>45351</x:v>
      </x:c>
      <x:c r="E11" s="80" t="n">
        <x:v>82.98</x:v>
      </x:c>
      <x:c r="F11" s="80" t="n">
        <x:v>84.57</x:v>
      </x:c>
      <x:c r="G11" s="83" t="n">
        <x:v>2.552</x:v>
      </x:c>
      <x:c r="H11" s="87" t="n">
        <x:v>37.25</x:v>
      </x:c>
      <x:c r="I11" s="87" t="n">
        <x:v>5.53</x:v>
      </x:c>
      <x:c r="J11" s="92" t="n">
        <x:v>79.63437082954442</x:v>
      </x:c>
    </x:row>
    <x:row r="12">
      <x:c r="A12" s="75" t="n">
        <x:v>45351</x:v>
      </x:c>
      <x:c r="B12" s="76" t="n">
        <x:v>45382</x:v>
      </x:c>
      <x:c r="C12" s="76" t="n">
        <x:v>45351</x:v>
      </x:c>
      <x:c r="D12" s="76" t="n">
        <x:v>45379</x:v>
      </x:c>
      <x:c r="E12" s="80" t="n">
        <x:v>84.57</x:v>
      </x:c>
      <x:c r="F12" s="80" t="n">
        <x:v>86.17</x:v>
      </x:c>
      <x:c r="G12" s="83" t="n">
        <x:v>2.526</x:v>
      </x:c>
      <x:c r="H12" s="87" t="n">
        <x:v>31.5</x:v>
      </x:c>
      <x:c r="I12" s="87" t="n">
        <x:v>5.53</x:v>
      </x:c>
      <x:c r="J12" s="92" t="n">
        <x:v>81.09639782849825</x:v>
      </x:c>
    </x:row>
    <x:row r="13">
      <x:c r="A13" s="75" t="n">
        <x:v>45382</x:v>
      </x:c>
      <x:c r="B13" s="76" t="n">
        <x:v>45412</x:v>
      </x:c>
      <x:c r="C13" s="76" t="n">
        <x:v>45379</x:v>
      </x:c>
      <x:c r="D13" s="76" t="n">
        <x:v>45412</x:v>
      </x:c>
      <x:c r="E13" s="80" t="n">
        <x:v>86.17</x:v>
      </x:c>
      <x:c r="F13" s="80" t="n">
        <x:v>88.23</x:v>
      </x:c>
      <x:c r="G13" s="83" t="n">
        <x:v>2.47</x:v>
      </x:c>
      <x:c r="H13" s="87" t="n">
        <x:v>26.27</x:v>
      </x:c>
      <x:c r="I13" s="87" t="n">
        <x:v>5.49</x:v>
      </x:c>
      <x:c r="J13" s="92" t="n">
        <x:v>82.66583573671147</x:v>
      </x:c>
    </x:row>
    <x:row r="14">
      <x:c r="A14" s="75" t="n">
        <x:v>45412</x:v>
      </x:c>
      <x:c r="B14" s="76" t="n">
        <x:v>45443</x:v>
      </x:c>
      <x:c r="C14" s="76" t="n">
        <x:v>45412</x:v>
      </x:c>
      <x:c r="D14" s="76" t="n">
        <x:v>45443</x:v>
      </x:c>
      <x:c r="E14" s="80" t="n">
        <x:v>88.23</x:v>
      </x:c>
      <x:c r="F14" s="80" t="n">
        <x:v>79.41</x:v>
      </x:c>
      <x:c r="G14" s="83" t="n">
        <x:v>2.291</x:v>
      </x:c>
      <x:c r="H14" s="87" t="n">
        <x:v>27.87</x:v>
      </x:c>
      <x:c r="I14" s="87" t="n">
        <x:v>5.48</x:v>
      </x:c>
      <x:c r="J14" s="92" t="n">
        <x:v>84.62265675359447</x:v>
      </x:c>
    </x:row>
    <x:row r="15">
      <x:c r="A15" s="75" t="n">
        <x:v>45443</x:v>
      </x:c>
      <x:c r="B15" s="76" t="n">
        <x:v>45473</x:v>
      </x:c>
      <x:c r="C15" s="76" t="n">
        <x:v>45443</x:v>
      </x:c>
      <x:c r="D15" s="76" t="n">
        <x:v>45471</x:v>
      </x:c>
      <x:c r="E15" s="80" t="n">
        <x:v>79.41</x:v>
      </x:c>
      <x:c r="F15" s="80" t="n">
        <x:v>87.26</x:v>
      </x:c>
      <x:c r="G15" s="83" t="n">
        <x:v>2.467</x:v>
      </x:c>
      <x:c r="H15" s="87" t="n">
        <x:v>30.34</x:v>
      </x:c>
      <x:c r="I15" s="87" t="n">
        <x:v>5.48</x:v>
      </x:c>
      <x:c r="J15" s="92" t="n">
        <x:v>76.1366449728695</x:v>
      </x:c>
    </x:row>
    <x:row r="16">
      <x:c r="A16" s="75" t="n">
        <x:v>45473</x:v>
      </x:c>
      <x:c r="B16" s="76" t="n">
        <x:v>45504</x:v>
      </x:c>
      <x:c r="C16" s="76" t="n">
        <x:v>45471</x:v>
      </x:c>
      <x:c r="D16" s="76" t="n">
        <x:v>45504</x:v>
      </x:c>
      <x:c r="E16" s="80" t="n">
        <x:v>87.26</x:v>
      </x:c>
      <x:c r="F16" s="80" t="n">
        <x:v>81.39</x:v>
      </x:c>
      <x:c r="G16" s="83" t="n">
        <x:v>2.28</x:v>
      </x:c>
      <x:c r="H16" s="87" t="n">
        <x:v>26.54</x:v>
      </x:c>
      <x:c r="I16" s="87" t="n">
        <x:v>5.47</x:v>
      </x:c>
      <x:c r="J16" s="92" t="n">
        <x:v>83.71243213802711</x:v>
      </x:c>
    </x:row>
    <x:row r="17">
      <x:c r="A17" s="75" t="n">
        <x:v>45504</x:v>
      </x:c>
      <x:c r="B17" s="76" t="n">
        <x:v>45535</x:v>
      </x:c>
      <x:c r="C17" s="76" t="n">
        <x:v>45504</x:v>
      </x:c>
      <x:c r="D17" s="76" t="n">
        <x:v>45534</x:v>
      </x:c>
      <x:c r="E17" s="80" t="n">
        <x:v>81.39</x:v>
      </x:c>
      <x:c r="F17" s="80" t="n">
        <x:v>80.2</x:v>
      </x:c>
      <x:c r="G17" s="83" t="n">
        <x:v>2.127</x:v>
      </x:c>
      <x:c r="H17" s="87" t="n">
        <x:v>33.69</x:v>
      </x:c>
      <x:c r="I17" s="87" t="n">
        <x:v>5.49</x:v>
      </x:c>
      <x:c r="J17" s="92" t="n">
        <x:v>78.09423967984964</x:v>
      </x:c>
    </x:row>
    <x:row r="18">
      <x:c r="A18" s="75" t="n">
        <x:v>45535</x:v>
      </x:c>
      <x:c r="B18" s="76" t="n">
        <x:v>45565</x:v>
      </x:c>
      <x:c r="C18" s="76" t="n">
        <x:v>45534</x:v>
      </x:c>
      <x:c r="D18" s="76" t="n">
        <x:v>45565</x:v>
      </x:c>
      <x:c r="E18" s="80" t="n">
        <x:v>80.2</x:v>
      </x:c>
      <x:c r="F18" s="80" t="n">
        <x:v>72.35</x:v>
      </x:c>
      <x:c r="G18" s="83" t="n">
        <x:v>1.968</x:v>
      </x:c>
      <x:c r="H18" s="87" t="n">
        <x:v>33.36</x:v>
      </x:c>
      <x:c r="I18" s="87" t="n">
        <x:v>5.41</x:v>
      </x:c>
      <x:c r="J18" s="92" t="n">
        <x:v>76.96052283357221</x:v>
      </x:c>
    </x:row>
    <x:row r="19">
      <x:c r="A19" s="75" t="n">
        <x:v>45565</x:v>
      </x:c>
      <x:c r="B19" s="76" t="n">
        <x:v>45596</x:v>
      </x:c>
      <x:c r="C19" s="76" t="n">
        <x:v>45565</x:v>
      </x:c>
      <x:c r="D19" s="76" t="n">
        <x:v>45596</x:v>
      </x:c>
      <x:c r="E19" s="80" t="n">
        <x:v>72.35</x:v>
      </x:c>
      <x:c r="F19" s="80" t="n">
        <x:v>73.25</x:v>
      </x:c>
      <x:c r="G19" s="83" t="n">
        <x:v>2.076</x:v>
      </x:c>
      <x:c r="H19" s="87" t="n">
        <x:v>39.86</x:v>
      </x:c>
      <x:c r="I19" s="87" t="n">
        <x:v>4.93</x:v>
      </x:c>
      <x:c r="J19" s="92" t="n">
        <x:v>69.44626034834366</x:v>
      </x:c>
    </x:row>
    <x:row r="20">
      <x:c r="A20" s="75" t="n">
        <x:v>45596</x:v>
      </x:c>
      <x:c r="B20" s="76" t="n">
        <x:v>45626</x:v>
      </x:c>
      <x:c r="C20" s="76" t="n">
        <x:v>45596</x:v>
      </x:c>
      <x:c r="D20" s="76" t="n">
        <x:v>45625</x:v>
      </x:c>
      <x:c r="E20" s="80" t="n">
        <x:v>73.25</x:v>
      </x:c>
      <x:c r="F20" s="80" t="n">
        <x:v>74.16</x:v>
      </x:c>
      <x:c r="G20" s="83" t="n">
        <x:v>2.04</x:v>
      </x:c>
      <x:c r="H20" s="87" t="n">
        <x:v>48.79</x:v>
      </x:c>
      <x:c r="I20" s="87" t="n">
        <x:v>4.76</x:v>
      </x:c>
      <x:c r="J20" s="92" t="n">
        <x:v>70.33480101363068</x:v>
      </x:c>
    </x:row>
    <x:row r="21">
      <x:c r="A21" s="75" t="n">
        <x:v>45626</x:v>
      </x:c>
      <x:c r="B21" s="76" t="n">
        <x:v>45657</x:v>
      </x:c>
      <x:c r="C21" s="76" t="n">
        <x:v>45625</x:v>
      </x:c>
      <x:c r="D21" s="76" t="n">
        <x:v>45657</x:v>
      </x:c>
      <x:c r="E21" s="80" t="n">
        <x:v>74.16</x:v>
      </x:c>
      <x:c r="F21" s="80" t="n">
        <x:v>74.58</x:v>
      </x:c>
      <x:c r="G21" s="83" t="n">
        <x:v>2.228</x:v>
      </x:c>
      <x:c r="H21" s="87" t="n">
        <x:v>34.95</x:v>
      </x:c>
      <x:c r="I21" s="87" t="n">
        <x:v>4.76</x:v>
      </x:c>
      <x:c r="J21" s="92" t="n">
        <x:v>71.1504380704288</x:v>
      </x:c>
    </x:row>
    <x:row r="22">
      <x:c r="A22" s="75" t="n">
        <x:v>45657</x:v>
      </x:c>
      <x:c r="B22" s="76" t="n">
        <x:v>45688</x:v>
      </x:c>
      <x:c r="C22" s="76" t="n">
        <x:v>45657</x:v>
      </x:c>
      <x:c r="D22" s="76" t="n">
        <x:v>45688</x:v>
      </x:c>
      <x:c r="E22" s="80" t="n">
        <x:v>74.58</x:v>
      </x:c>
      <x:c r="F22" s="80" t="n">
        <x:v>77.11</x:v>
      </x:c>
      <x:c r="G22" s="83" t="n">
        <x:v>2.302</x:v>
      </x:c>
      <x:c r="H22" s="87" t="n">
        <x:v>30.02</x:v>
      </x:c>
      <x:c r="I22" s="87" t="n">
        <x:v>4.4</x:v>
      </x:c>
      <x:c r="J22" s="92" t="n">
        <x:v>71.48122229020751</x:v>
      </x:c>
    </x:row>
    <x:row r="23">
      <x:c r="A23" s="75" t="n">
        <x:v>45688</x:v>
      </x:c>
      <x:c r="B23" s="76" t="n">
        <x:v>45716</x:v>
      </x:c>
      <x:c r="C23" s="76" t="n">
        <x:v>45688</x:v>
      </x:c>
      <x:c r="D23" s="76" t="n">
        <x:v>45716</x:v>
      </x:c>
      <x:c r="E23" s="80" t="n">
        <x:v>77.11</x:v>
      </x:c>
      <x:c r="F23" s="80" t="n">
        <x:v>74.76</x:v>
      </x:c>
      <x:c r="G23" s="83" t="n">
        <x:v>2.145</x:v>
      </x:c>
      <x:c r="H23" s="87" t="n">
        <x:v>29.96</x:v>
      </x:c>
      <x:c r="I23" s="87" t="n">
        <x:v>4.37</x:v>
      </x:c>
      <x:c r="J23" s="92" t="n">
        <x:v>73.865739069228</x:v>
      </x:c>
    </x:row>
    <x:row r="24">
      <x:c r="A24" s="75" t="n">
        <x:v>45716</x:v>
      </x:c>
      <x:c r="B24" s="76" t="n">
        <x:v>45747</x:v>
      </x:c>
      <x:c r="C24" s="76" t="n">
        <x:v>45716</x:v>
      </x:c>
      <x:c r="D24" s="76" t="n">
        <x:v>45747</x:v>
      </x:c>
      <x:c r="E24" s="80" t="n">
        <x:v>74.76</x:v>
      </x:c>
      <x:c r="F24" s="80" t="n">
        <x:v>77.23</x:v>
      </x:c>
      <x:c r="G24" s="83" t="n">
        <x:v>2.135</x:v>
      </x:c>
      <x:c r="H24" s="87" t="n">
        <x:v>29.97</x:v>
      </x:c>
      <x:c r="I24" s="87" t="n">
        <x:v>4.38</x:v>
      </x:c>
      <x:c r="J24" s="92" t="n">
        <x:v>71.65215181936514</x:v>
      </x:c>
    </x:row>
    <x:row r="25">
      <x:c r="A25" s="75" t="n">
        <x:v>45747</x:v>
      </x:c>
      <x:c r="B25" s="76" t="n">
        <x:v>45777</x:v>
      </x:c>
      <x:c r="C25" s="76" t="n">
        <x:v>45747</x:v>
      </x:c>
      <x:c r="D25" s="76" t="n">
        <x:v>45777</x:v>
      </x:c>
      <x:c r="E25" s="80" t="n">
        <x:v>77.23</x:v>
      </x:c>
      <x:c r="F25" s="80" t="n">
        <x:v>63.37</x:v>
      </x:c>
      <x:c r="G25" s="83" t="n">
        <x:v>1.909</x:v>
      </x:c>
      <x:c r="H25" s="87" t="n">
        <x:v>30.88</x:v>
      </x:c>
      <x:c r="I25" s="87" t="n">
        <x:v>4.38</x:v>
      </x:c>
      <x:c r="J25" s="92" t="n">
        <x:v>74.01374414960725</x:v>
      </x:c>
    </x:row>
    <x:row r="26">
      <x:c r="A26" s="75" t="n">
        <x:v>45777</x:v>
      </x:c>
      <x:c r="B26" s="76" t="n">
        <x:v>45808</x:v>
      </x:c>
      <x:c r="C26" s="76" t="n">
        <x:v>45777</x:v>
      </x:c>
      <x:c r="D26" s="76" t="n">
        <x:v>45807</x:v>
      </x:c>
      <x:c r="E26" s="80" t="n">
        <x:v>63.37</x:v>
      </x:c>
      <x:c r="F26" s="80" t="n">
        <x:v>64.32</x:v>
      </x:c>
      <x:c r="G26" s="83" t="n">
        <x:v>1.846</x:v>
      </x:c>
      <x:c r="H26" s="87" t="n">
        <x:v>54.46</x:v>
      </x:c>
      <x:c r="I26" s="87" t="n">
        <x:v>4.35</x:v>
      </x:c>
      <x:c r="J26" s="92" t="n">
        <x:v>60.87505048872622</x:v>
      </x:c>
    </x:row>
    <x:row r="27">
      <x:c r="A27" s="75" t="n">
        <x:v>45808</x:v>
      </x:c>
      <x:c r="B27" s="76" t="n">
        <x:v>45838</x:v>
      </x:c>
      <x:c r="C27" s="76" t="n">
        <x:v>45807</x:v>
      </x:c>
      <x:c r="D27" s="76" t="n">
        <x:v>45838</x:v>
      </x:c>
      <x:c r="E27" s="80" t="n">
        <x:v>64.32</x:v>
      </x:c>
      <x:c r="F27" s="80" t="n">
        <x:v>68.15</x:v>
      </x:c>
      <x:c r="G27" s="83" t="n">
        <x:v>2.177</x:v>
      </x:c>
      <x:c r="H27" s="87" t="n">
        <x:v>40.71</x:v>
      </x:c>
      <x:c r="I27" s="87" t="n">
        <x:v>4.33</x:v>
      </x:c>
      <x:c r="J27" s="92" t="n">
        <x:v>61.712523115390965</x:v>
      </x:c>
    </x:row>
    <x:row r="28">
      <x:c r="A28" s="75" t="n">
        <x:v>45838</x:v>
      </x:c>
      <x:c r="B28" s="76" t="n">
        <x:v>45869</x:v>
      </x:c>
      <x:c r="C28" s="76" t="n">
        <x:v>45838</x:v>
      </x:c>
      <x:c r="D28" s="76" t="n">
        <x:v>45869</x:v>
      </x:c>
      <x:c r="E28" s="80" t="n">
        <x:v>68.15</x:v>
      </x:c>
      <x:c r="F28" s="80" t="n">
        <x:v>73.43</x:v>
      </x:c>
      <x:c r="G28" s="83" t="n">
        <x:v>2.148</x:v>
      </x:c>
      <x:c r="H28" s="87" t="n">
        <x:v>38.89</x:v>
      </x:c>
      <x:c r="I28" s="87" t="n">
        <x:v>4.28</x:v>
      </x:c>
      <x:c r="J28" s="92" t="n">
        <x:v>65.37214458971397</x:v>
      </x:c>
    </x:row>
    <x:row r="29">
      <x:c r="A29" s="75" t="n">
        <x:v>45869</x:v>
      </x:c>
      <x:c r="B29" s="76" t="n">
        <x:v>45900</x:v>
      </x:c>
      <x:c r="C29" s="76" t="n">
        <x:v>45869</x:v>
      </x:c>
      <x:c r="D29" s="76" t="n">
        <x:v>45898</x:v>
      </x:c>
      <x:c r="E29" s="80" t="n">
        <x:v>73.43</x:v>
      </x:c>
      <x:c r="F29" s="80" t="n">
        <x:v>67.83</x:v>
      </x:c>
      <x:c r="G29" s="83" t="n">
        <x:v>2.02</x:v>
      </x:c>
      <x:c r="H29" s="87" t="n">
        <x:v>36.78</x:v>
      </x:c>
      <x:c r="I29" s="87" t="n">
        <x:v>4.49</x:v>
      </x:c>
      <x:c r="J29" s="92" t="n">
        <x:v>70.407873855216</x:v>
      </x:c>
    </x:row>
    <x:row r="30">
      <x:c r="A30" s="75" t="n">
        <x:v>45900</x:v>
      </x:c>
      <x:c r="B30" s="76" t="n">
        <x:v>45930</x:v>
      </x:c>
      <x:c r="C30" s="76" t="n">
        <x:v>45898</x:v>
      </x:c>
      <x:c r="D30" s="76" t="n">
        <x:v>45930</x:v>
      </x:c>
      <x:c r="E30" s="80" t="n">
        <x:v>67.83</x:v>
      </x:c>
      <x:c r="F30" s="80" t="n">
        <x:v>68.52</x:v>
      </x:c>
      <x:c r="G30" s="83" t="n">
        <x:v>2.076</x:v>
      </x:c>
      <x:c r="H30" s="87" t="n">
        <x:v>32.63</x:v>
      </x:c>
      <x:c r="I30" s="87" t="n">
        <x:v>4.41</x:v>
      </x:c>
      <x:c r="J30" s="92" t="n">
        <x:v>65.04136614293392</x:v>
      </x:c>
    </x:row>
    <x:row r="31">
      <x:c r="A31" s="75" t="n">
        <x:v>45930</x:v>
      </x:c>
      <x:c r="B31" s="76" t="n">
        <x:v>45961</x:v>
      </x:c>
      <x:c r="C31" s="76" t="n">
        <x:v>45930</x:v>
      </x:c>
      <x:c r="D31" s="76" t="n">
        <x:v>45961</x:v>
      </x:c>
      <x:c r="E31" s="80" t="n">
        <x:v>68.52</x:v>
      </x:c>
      <x:c r="F31" s="80" t="n">
        <x:v>65.44</x:v>
      </x:c>
      <x:c r="G31" s="83" t="n">
        <x:v>2.245</x:v>
      </x:c>
      <x:c r="H31" s="87" t="n">
        <x:v>35.58</x:v>
      </x:c>
      <x:c r="I31" s="87" t="n">
        <x:v>4.2</x:v>
      </x:c>
      <x:c r="J31" s="92" t="n">
        <x:v>65.69997721110062</x:v>
      </x:c>
    </x:row>
    <x:row r="32">
      <x:c r="A32" s="75" t="n">
        <x:v>45961</x:v>
      </x:c>
      <x:c r="B32" s="76" t="n">
        <x:v>45991</x:v>
      </x:c>
      <x:c r="C32" s="76" t="n">
        <x:v>45961</x:v>
      </x:c>
      <x:c r="D32" s="76" t="n">
        <x:v>45989</x:v>
      </x:c>
      <x:c r="E32" s="80" t="n">
        <x:v>65.44</x:v>
      </x:c>
      <x:c r="F32" s="80" t="n">
        <x:v>64.07</x:v>
      </x:c>
      <x:c r="G32" s="83" t="n">
        <x:v>2.05</x:v>
      </x:c>
      <x:c r="H32" s="87" t="n">
        <x:v>36.2</x:v>
      </x:c>
      <x:c r="I32" s="87" t="n">
        <x:v>4.06</x:v>
      </x:c>
      <x:c r="J32" s="92" t="n">
        <x:v>62.71065691235226</x:v>
      </x:c>
    </x:row>
    <x:row r="33">
      <x:c r="A33" s="75" t="n">
        <x:v>45991</x:v>
      </x:c>
      <x:c r="B33" s="76" t="n">
        <x:v>46022</x:v>
      </x:c>
      <x:c r="C33" s="76" t="n">
        <x:v>45989</x:v>
      </x:c>
      <x:c r="D33" s="76" t="n">
        <x:v>46022</x:v>
      </x:c>
      <x:c r="E33" s="80" t="n">
        <x:v>64.07</x:v>
      </x:c>
      <x:c r="F33" s="80" t="n">
        <x:v>61.35</x:v>
      </x:c>
      <x:c r="G33" s="83" t="n">
        <x:v>1.911</x:v>
      </x:c>
      <x:c r="H33" s="87" t="n">
        <x:v>35.95</x:v>
      </x:c>
      <x:c r="I33" s="87" t="n">
        <x:v>4.05</x:v>
      </x:c>
      <x:c r="J33" s="92" t="n">
        <x:v>61.448597630269845</x:v>
      </x:c>
    </x:row>
    <x:row r="34">
      <x:c r="A34" s="75" t="n">
        <x:v>46022</x:v>
      </x:c>
      <x:c r="B34" s="76" t="n">
        <x:v>46053</x:v>
      </x:c>
      <x:c r="C34" s="76" t="n">
        <x:v>46022</x:v>
      </x:c>
      <x:c r="D34" s="76" t="n">
        <x:v>46052</x:v>
      </x:c>
      <x:c r="E34" s="80" t="n">
        <x:v>61.35</x:v>
      </x:c>
      <x:c r="F34" s="80" t="n">
        <x:v>72.25</x:v>
      </x:c>
      <x:c r="G34" s="83" t="n">
        <x:v>2.277</x:v>
      </x:c>
      <x:c r="H34" s="87" t="n">
        <x:v>30.17</x:v>
      </x:c>
      <x:c r="I34" s="87" t="n">
        <x:v>3.74</x:v>
      </x:c>
      <x:c r="J34" s="92" t="n">
        <x:v>58.75986052370071</x:v>
      </x:c>
    </x:row>
    <x:row r="35">
      <x:c r="A35" s="75" t="n">
        <x:v>46053</x:v>
      </x:c>
      <x:c r="B35" s="76" t="n">
        <x:v>46081</x:v>
      </x:c>
      <x:c r="C35" s="76" t="n">
        <x:v>46052</x:v>
      </x:c>
      <x:c r="D35" s="76" t="n">
        <x:v>46080</x:v>
      </x:c>
      <x:c r="E35" s="80" t="n">
        <x:v>72.25</x:v>
      </x:c>
      <x:c r="F35" s="80" t="n">
        <x:v>71.32</x:v>
      </x:c>
      <x:c r="G35" s="83" t="n">
        <x:v>2.428</x:v>
      </x:c>
      <x:c r="H35" s="87" t="n">
        <x:v>55.91</x:v>
      </x:c>
      <x:c r="I35" s="87" t="n">
        <x:v>3.72</x:v>
      </x:c>
      <x:c r="J35" s="92" t="n">
        <x:v>69.35228232243296</x:v>
      </x:c>
    </x:row>
    <x:row r="36">
      <x:c r="A36" s="75" t="n">
        <x:v>46081</x:v>
      </x:c>
      <x:c r="B36" s="76" t="n">
        <x:v>46112</x:v>
      </x:c>
      <x:c r="C36" s="76" t="n">
        <x:v>46080</x:v>
      </x:c>
      <x:c r="D36" s="76" t="n">
        <x:v>46112</x:v>
      </x:c>
      <x:c r="E36" s="80" t="n">
        <x:v>71.32</x:v>
      </x:c>
      <x:c r="F36" s="80" t="n">
        <x:v>126.69</x:v>
      </x:c>
      <x:c r="G36" s="83" t="n">
        <x:v>3.965</x:v>
      </x:c>
      <x:c r="H36" s="87" t="n">
        <x:v>64.68</x:v>
      </x:c>
      <x:c r="I36" s="87" t="n">
        <x:v>3.74</x:v>
      </x:c>
      <x:c r="J36" s="92" t="n">
        <x:v>68.57509374366967</x:v>
      </x:c>
    </x:row>
    <x:row r="37">
      <x:c r="A37" s="75" t="n">
        <x:v>46112</x:v>
      </x:c>
      <x:c r="B37" s="76" t="n">
        <x:v>46142</x:v>
      </x:c>
      <x:c r="C37" s="76" t="n">
        <x:v>46112</x:v>
      </x:c>
      <x:c r="D37" s="76" t="n">
        <x:v>46142</x:v>
      </x:c>
      <x:c r="E37" s="80" t="n">
        <x:v>126.69</x:v>
      </x:c>
      <x:c r="F37" s="80" t="n">
        <x:v>124.24</x:v>
      </x:c>
      <x:c r="G37" s="83" t="n">
        <x:v>4.287</x:v>
      </x:c>
      <x:c r="H37" s="87" t="n">
        <x:v>89.39</x:v>
      </x:c>
      <x:c r="I37" s="87" t="n">
        <x:v>3.74</x:v>
      </x:c>
      <x:c r="J37" s="92" t="n">
        <x:v>122.05096413663432</x:v>
      </x:c>
    </x:row>
    <x:row r="38">
      <x:c r="A38" s="75" t="n">
        <x:v>46142</x:v>
      </x:c>
      <x:c r="B38" s="76" t="n">
        <x:v>46173</x:v>
      </x:c>
      <x:c r="C38" s="76" t="n">
        <x:v>46142</x:v>
      </x:c>
      <x:c r="D38" s="76" t="n">
        <x:v>46171</x:v>
      </x:c>
      <x:c r="E38" s="80" t="n">
        <x:v>124.24</x:v>
      </x:c>
      <x:c r="F38" s="80" t="n">
        <x:v>92.88</x:v>
      </x:c>
      <x:c r="G38" s="83" t="n">
        <x:v>3.237</x:v>
      </x:c>
      <x:c r="H38" s="87" t="n">
        <x:v>75.08</x:v>
      </x:c>
      <x:c r="I38" s="87" t="n">
        <x:v>3.72</x:v>
      </x:c>
      <x:c r="J38" s="92" t="n">
        <x:v>119.50075323994542</x:v>
      </x:c>
    </x:row>
    <x:row r="39">
      <x:c r="A39" s="77" t="n">
        <x:v>46173</x:v>
      </x:c>
      <x:c r="B39" s="78" t="n">
        <x:v>46203</x:v>
      </x:c>
      <x:c r="C39" s="78" t="n">
        <x:v>46171</x:v>
      </x:c>
      <x:c r="D39" s="78" t="n">
        <x:v>46203</x:v>
      </x:c>
      <x:c r="E39" s="81" t="n">
        <x:v>92.88</x:v>
      </x:c>
      <x:c r="F39" s="81" t="n">
        <x:v>70.46</x:v>
      </x:c>
      <x:c r="G39" s="84" t="n">
        <x:v>2.867</x:v>
      </x:c>
      <x:c r="H39" s="89" t="n">
        <x:v>57.84</x:v>
      </x:c>
      <x:c r="I39" s="89" t="n">
        <x:v>3.72</x:v>
      </x:c>
      <x:c r="J39" s="93" t="n">
        <x:v>89.24191444504785</x:v>
      </x:c>
    </x:row>
  </x:sheetData>
  <x:mergeCells>
    <x:mergeCell ref="A1:J1"/>
    <x:mergeCell ref="A2:J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  <x:col min="18" max="18" width="13" hidden="0" customWidth="1"/>
    <x:col min="19" max="19" width="13" hidden="0" customWidth="1"/>
    <x:col min="20" max="20" width="13" hidden="0" customWidth="1"/>
    <x:col min="21" max="21" width="13" hidden="0" customWidth="1"/>
    <x:col min="22" max="22" width="13" hidden="0" customWidth="1"/>
    <x:col min="24" max="24" width="23" hidden="0" customWidth="1"/>
    <x:col min="25" max="25" width="18" hidden="0" customWidth="1"/>
  </x:cols>
  <x:sheetData>
    <x:row r="1" ht="34" customHeight="1">
      <x:c r="A1" s="3" t="str">
        <x:v>FORMULA AUDIT MODEL</x:v>
      </x:c>
      <x:c r="B1" s="3" t="str">
        <x:v>FORMULA AUDIT MODEL</x:v>
      </x:c>
      <x:c r="C1" s="3" t="str">
        <x:v>FORMULA AUDIT MODEL</x:v>
      </x:c>
      <x:c r="D1" s="3" t="str">
        <x:v>FORMULA AUDIT MODEL</x:v>
      </x:c>
      <x:c r="E1" s="3" t="str">
        <x:v>FORMULA AUDIT MODEL</x:v>
      </x:c>
      <x:c r="F1" s="3" t="str">
        <x:v>FORMULA AUDIT MODEL</x:v>
      </x:c>
      <x:c r="G1" s="3" t="str">
        <x:v>FORMULA AUDIT MODEL</x:v>
      </x:c>
      <x:c r="H1" s="3" t="str">
        <x:v>FORMULA AUDIT MODEL</x:v>
      </x:c>
      <x:c r="I1" s="3" t="str">
        <x:v>FORMULA AUDIT MODEL</x:v>
      </x:c>
      <x:c r="J1" s="3" t="str">
        <x:v>FORMULA AUDIT MODEL</x:v>
      </x:c>
      <x:c r="K1" s="3" t="str">
        <x:v>FORMULA AUDIT MODEL</x:v>
      </x:c>
      <x:c r="L1" s="3" t="str">
        <x:v>FORMULA AUDIT MODEL</x:v>
      </x:c>
      <x:c r="M1" s="3" t="str">
        <x:v>FORMULA AUDIT MODEL</x:v>
      </x:c>
      <x:c r="N1" s="3" t="str">
        <x:v>FORMULA AUDIT MODEL</x:v>
      </x:c>
      <x:c r="O1" s="3" t="str">
        <x:v>FORMULA AUDIT MODEL</x:v>
      </x:c>
      <x:c r="P1" s="3" t="str">
        <x:v>FORMULA AUDIT MODEL</x:v>
      </x:c>
      <x:c r="Q1" s="3" t="str">
        <x:v>FORMULA AUDIT MODEL</x:v>
      </x:c>
      <x:c r="R1" s="3" t="str">
        <x:v>FORMULA AUDIT MODEL</x:v>
      </x:c>
      <x:c r="S1" s="3" t="str">
        <x:v>FORMULA AUDIT MODEL</x:v>
      </x:c>
      <x:c r="T1" s="3" t="str">
        <x:v>FORMULA AUDIT MODEL</x:v>
      </x:c>
      <x:c r="U1" s="3" t="str">
        <x:v>FORMULA AUDIT MODEL</x:v>
      </x:c>
      <x:c r="V1" s="3" t="str">
        <x:v>FORMULA AUDIT MODEL</x:v>
      </x:c>
      <x:c r="W1" s="3" t="str">
        <x:v>FORMULA AUDIT MODEL</x:v>
      </x:c>
      <x:c r="X1" s="3" t="str">
        <x:v>FORMULA AUDIT MODEL</x:v>
      </x:c>
      <x:c r="Y1" s="3" t="str">
        <x:v>FORMULA AUDIT MODEL</x:v>
      </x:c>
    </x:row>
    <x:row r="2" ht="30" customHeight="1">
      <x:c r="A2" s="7" t="str">
        <x:v>Black-76 option pricing, derivative payoffs, hybrid net cost, and month-by-month savings. Scroll right for the audit scorecard.</x:v>
      </x:c>
      <x:c r="B2" s="7" t="str">
        <x:v>Black-76 option pricing, derivative payoffs, hybrid net cost, and month-by-month savings. Scroll right for the audit scorecard.</x:v>
      </x:c>
      <x:c r="C2" s="7" t="str">
        <x:v>Black-76 option pricing, derivative payoffs, hybrid net cost, and month-by-month savings. Scroll right for the audit scorecard.</x:v>
      </x:c>
      <x:c r="D2" s="7" t="str">
        <x:v>Black-76 option pricing, derivative payoffs, hybrid net cost, and month-by-month savings. Scroll right for the audit scorecard.</x:v>
      </x:c>
      <x:c r="E2" s="7" t="str">
        <x:v>Black-76 option pricing, derivative payoffs, hybrid net cost, and month-by-month savings. Scroll right for the audit scorecard.</x:v>
      </x:c>
      <x:c r="F2" s="7" t="str">
        <x:v>Black-76 option pricing, derivative payoffs, hybrid net cost, and month-by-month savings. Scroll right for the audit scorecard.</x:v>
      </x:c>
      <x:c r="G2" s="7" t="str">
        <x:v>Black-76 option pricing, derivative payoffs, hybrid net cost, and month-by-month savings. Scroll right for the audit scorecard.</x:v>
      </x:c>
      <x:c r="H2" s="7" t="str">
        <x:v>Black-76 option pricing, derivative payoffs, hybrid net cost, and month-by-month savings. Scroll right for the audit scorecard.</x:v>
      </x:c>
      <x:c r="I2" s="7" t="str">
        <x:v>Black-76 option pricing, derivative payoffs, hybrid net cost, and month-by-month savings. Scroll right for the audit scorecard.</x:v>
      </x:c>
      <x:c r="J2" s="7" t="str">
        <x:v>Black-76 option pricing, derivative payoffs, hybrid net cost, and month-by-month savings. Scroll right for the audit scorecard.</x:v>
      </x:c>
      <x:c r="K2" s="7" t="str">
        <x:v>Black-76 option pricing, derivative payoffs, hybrid net cost, and month-by-month savings. Scroll right for the audit scorecard.</x:v>
      </x:c>
      <x:c r="L2" s="7" t="str">
        <x:v>Black-76 option pricing, derivative payoffs, hybrid net cost, and month-by-month savings. Scroll right for the audit scorecard.</x:v>
      </x:c>
      <x:c r="M2" s="7" t="str">
        <x:v>Black-76 option pricing, derivative payoffs, hybrid net cost, and month-by-month savings. Scroll right for the audit scorecard.</x:v>
      </x:c>
      <x:c r="N2" s="7" t="str">
        <x:v>Black-76 option pricing, derivative payoffs, hybrid net cost, and month-by-month savings. Scroll right for the audit scorecard.</x:v>
      </x:c>
      <x:c r="O2" s="7" t="str">
        <x:v>Black-76 option pricing, derivative payoffs, hybrid net cost, and month-by-month savings. Scroll right for the audit scorecard.</x:v>
      </x:c>
      <x:c r="P2" s="7" t="str">
        <x:v>Black-76 option pricing, derivative payoffs, hybrid net cost, and month-by-month savings. Scroll right for the audit scorecard.</x:v>
      </x:c>
      <x:c r="Q2" s="7" t="str">
        <x:v>Black-76 option pricing, derivative payoffs, hybrid net cost, and month-by-month savings. Scroll right for the audit scorecard.</x:v>
      </x:c>
      <x:c r="R2" s="7" t="str">
        <x:v>Black-76 option pricing, derivative payoffs, hybrid net cost, and month-by-month savings. Scroll right for the audit scorecard.</x:v>
      </x:c>
      <x:c r="S2" s="7" t="str">
        <x:v>Black-76 option pricing, derivative payoffs, hybrid net cost, and month-by-month savings. Scroll right for the audit scorecard.</x:v>
      </x:c>
      <x:c r="T2" s="7" t="str">
        <x:v>Black-76 option pricing, derivative payoffs, hybrid net cost, and month-by-month savings. Scroll right for the audit scorecard.</x:v>
      </x:c>
      <x:c r="U2" s="7" t="str">
        <x:v>Black-76 option pricing, derivative payoffs, hybrid net cost, and month-by-month savings. Scroll right for the audit scorecard.</x:v>
      </x:c>
      <x:c r="V2" s="7" t="str">
        <x:v>Black-76 option pricing, derivative payoffs, hybrid net cost, and month-by-month savings. Scroll right for the audit scorecard.</x:v>
      </x:c>
      <x:c r="W2" s="7" t="str">
        <x:v>Black-76 option pricing, derivative payoffs, hybrid net cost, and month-by-month savings. Scroll right for the audit scorecard.</x:v>
      </x:c>
      <x:c r="X2" s="7" t="str">
        <x:v>Black-76 option pricing, derivative payoffs, hybrid net cost, and month-by-month savings. Scroll right for the audit scorecard.</x:v>
      </x:c>
      <x:c r="Y2" s="7" t="str">
        <x:v>Black-76 option pricing, derivative payoffs, hybrid net cost, and month-by-month savings. Scroll right for the audit scorecard.</x:v>
      </x:c>
    </x:row>
    <x:row r="3">
      <x:c r="A3" s="458"/>
      <x:c r="B3" s="458"/>
      <x:c r="C3" s="458"/>
      <x:c r="D3" s="458"/>
      <x:c r="E3" s="458"/>
      <x:c r="F3" s="458"/>
      <x:c r="G3" s="458"/>
      <x:c r="H3" s="458"/>
      <x:c r="I3" s="458"/>
      <x:c r="J3" s="458"/>
      <x:c r="K3" s="458"/>
      <x:c r="L3" s="458"/>
      <x:c r="M3" s="458"/>
      <x:c r="N3" s="458"/>
      <x:c r="O3" s="458"/>
      <x:c r="P3" s="458"/>
      <x:c r="Q3" s="458"/>
      <x:c r="R3" s="458"/>
      <x:c r="S3" s="458"/>
      <x:c r="T3" s="458"/>
      <x:c r="U3" s="458"/>
      <x:c r="V3" s="458"/>
      <x:c r="W3" s="458"/>
      <x:c r="X3" s="458"/>
      <x:c r="Y3" s="458"/>
    </x:row>
    <x:row r="4">
      <x:c r="A4" s="12" t="str">
        <x:v>End date</x:v>
      </x:c>
      <x:c r="B4" s="12" t="str">
        <x:v>Brent entry</x:v>
      </x:c>
      <x:c r="C4" s="12" t="str">
        <x:v>Brent settle</x:v>
      </x:c>
      <x:c r="D4" s="12" t="str">
        <x:v>Jet unhedged</x:v>
      </x:c>
      <x:c r="E4" s="12" t="str">
        <x:v>OVX</x:v>
      </x:c>
      <x:c r="F4" s="12" t="str">
        <x:v>Rate</x:v>
      </x:c>
      <x:c r="G4" s="12" t="str">
        <x:v>T (yrs)</x:v>
      </x:c>
      <x:c r="H4" s="12" t="str">
        <x:v>Synthetic future</x:v>
      </x:c>
      <x:c r="I4" s="12" t="str">
        <x:v>Call K</x:v>
      </x:c>
      <x:c r="J4" s="12" t="str">
        <x:v>Put K</x:v>
      </x:c>
      <x:c r="K4" s="12" t="str">
        <x:v>Call d1</x:v>
      </x:c>
      <x:c r="L4" s="12" t="str">
        <x:v>Call d2</x:v>
      </x:c>
      <x:c r="M4" s="12" t="str">
        <x:v>Call premium</x:v>
      </x:c>
      <x:c r="N4" s="12" t="str">
        <x:v>Put d1</x:v>
      </x:c>
      <x:c r="O4" s="12" t="str">
        <x:v>Put d2</x:v>
      </x:c>
      <x:c r="P4" s="12" t="str">
        <x:v>Put premium</x:v>
      </x:c>
      <x:c r="Q4" s="12" t="str">
        <x:v>Futures cost</x:v>
      </x:c>
      <x:c r="R4" s="12" t="str">
        <x:v>Call cost</x:v>
      </x:c>
      <x:c r="S4" s="12" t="str">
        <x:v>Collar cost</x:v>
      </x:c>
      <x:c r="T4" s="12" t="str">
        <x:v>Hybrid cost</x:v>
      </x:c>
      <x:c r="U4" s="12" t="str">
        <x:v>Savings ($)</x:v>
      </x:c>
      <x:c r="V4" s="12" t="str">
        <x:v>Premium gap</x:v>
      </x:c>
      <x:c r="W4" s="12" t="str"/>
      <x:c r="X4" s="12" t="str">
        <x:v>Metric</x:v>
      </x:c>
      <x:c r="Y4" s="12" t="str">
        <x:v>Value</x:v>
      </x:c>
    </x:row>
    <x:row r="5">
      <x:c r="A5" s="100" t="n">
        <x:f>'Audit Inputs'!B5</x:f>
        <x:v>45169</x:v>
      </x:c>
      <x:c r="B5" s="103" t="n">
        <x:f>'Audit Inputs'!E5</x:f>
        <x:v>85.22</x:v>
      </x:c>
      <x:c r="C5" s="103" t="n">
        <x:f>'Audit Inputs'!F5</x:f>
        <x:v>87.29</x:v>
      </x:c>
      <x:c r="D5" s="103" t="n">
        <x:f>'Audit Inputs'!G5</x:f>
        <x:v>3.006</x:v>
      </x:c>
      <x:c r="E5" s="106" t="n">
        <x:f>'Audit Inputs'!H5</x:f>
        <x:v>28.48</x:v>
      </x:c>
      <x:c r="F5" s="106" t="n">
        <x:f>'Audit Inputs'!I5</x:f>
        <x:v>5.48</x:v>
      </x:c>
      <x:c r="G5" s="109" t="n">
        <x:f>('Audit Inputs'!D5-'Audit Inputs'!C5)/365</x:f>
        <x:v>0.08493150684931507</x:v>
      </x:c>
      <x:c r="H5" s="79" t="n">
        <x:f>B5*EXP((F5/100)*G5)</x:f>
        <x:v>85.61755934509989</x:v>
      </x:c>
      <x:c r="I5" s="79" t="n">
        <x:f>H5*(1+'Assumptions'!$B$9)</x:f>
        <x:v>89.89843731235489</x:v>
      </x:c>
      <x:c r="J5" s="112" t="n">
        <x:f>'Audit Inputs'!J5</x:f>
        <x:v>81.74093245703338</x:v>
      </x:c>
      <x:c r="K5" s="115" t="n">
        <x:f>(LN(H5/I5)+0.5*(E5/100)^2*G5)/((E5/100)*SQRT(G5))</x:f>
        <x:v>-0.5463386543658181</x:v>
      </x:c>
      <x:c r="L5" s="115" t="n">
        <x:f>K5-(E5/100)*SQRT(G5)</x:f>
        <x:v>-0.6293379486358001</x:v>
      </x:c>
      <x:c r="M5" s="82" t="n">
        <x:f>EXP(-(F5/100)*G5)*(H5*NORM.S.DIST(K5,TRUE)-I5*NORM.S.DIST(L5,TRUE))</x:f>
        <x:v>1.246297603081582</x:v>
      </x:c>
      <x:c r="N5" s="82" t="n">
        <x:f>(LN(H5/J5)+0.5*(E5/100)^2*G5)/((E5/100)*SQRT(G5))</x:f>
        <x:v>0.5997635382429568</x:v>
      </x:c>
      <x:c r="O5" s="82" t="n">
        <x:f>N5-(E5/100)*SQRT(G5)</x:f>
        <x:v>0.5167642439729748</x:v>
      </x:c>
      <x:c r="P5" s="82" t="n">
        <x:f>EXP(-(F5/100)*G5)*(J5*NORM.S.DIST(-O5,TRUE)-H5*NORM.S.DIST(-N5,TRUE))</x:f>
        <x:v>1.246297603081582</x:v>
      </x:c>
      <x:c r="Q5" s="82" t="n">
        <x:f>D5-'Assumptions'!$B$8*(C5-H5)/'Assumptions'!$B$16+'Assumptions'!$B$8*'Assumptions'!$B$14</x:f>
        <x:v>2.972223417958301</x:v>
      </x:c>
      <x:c r="R5" s="82" t="n">
        <x:f>D5-'Assumptions'!$B$8*MAX(C5-I5,0)/'Assumptions'!$B$16+'Assumptions'!$B$8*M5/'Assumptions'!$B$16+'Assumptions'!$B$8*'Assumptions'!$B$15</x:f>
        <x:v>3.033558749835708</x:v>
      </x:c>
      <x:c r="S5" s="82" t="n">
        <x:f>D5-'Assumptions'!$B$8*(MAX(C5-I5,0)-MAX(J5-C5,0))/'Assumptions'!$B$16+'Assumptions'!$B$8*'Assumptions'!$B$15</x:f>
        <x:v>3.0077401632392906</x:v>
      </x:c>
      <x:c r="T5" s="82" t="n">
        <x:f>'Assumptions'!$B$10*D5+'Assumptions'!$B$11*Q5+'Assumptions'!$B$12*R5+'Assumptions'!$B$13*S5</x:f>
        <x:v>2.993011416155108</x:v>
      </x:c>
      <x:c r="U5" s="118" t="n">
        <x:f>(D5-T5)*'Assumptions'!$B$5</x:f>
        <x:v>129885.83844891988</x:v>
      </x:c>
      <x:c r="V5" s="121" t="n">
        <x:f>ABS(M5-P5)</x:f>
        <x:v>0</x:v>
      </x:c>
      <x:c r="W5" s="458"/>
      <x:c r="X5" s="460" t="str">
        <x:v>Audit months</x:v>
      </x:c>
      <x:c r="Y5" s="461" t="n">
        <x:f>COUNT(T5:T39)</x:f>
        <x:v>35</x:v>
      </x:c>
    </x:row>
    <x:row r="6">
      <x:c r="A6" s="101" t="n">
        <x:f>'Audit Inputs'!B6</x:f>
        <x:v>45199</x:v>
      </x:c>
      <x:c r="B6" s="104" t="n">
        <x:f>'Audit Inputs'!E6</x:f>
        <x:v>87.29</x:v>
      </x:c>
      <x:c r="C6" s="104" t="n">
        <x:f>'Audit Inputs'!F6</x:f>
        <x:v>95.86</x:v>
      </x:c>
      <x:c r="D6" s="104" t="n">
        <x:f>'Audit Inputs'!G6</x:f>
        <x:v>3.162</x:v>
      </x:c>
      <x:c r="E6" s="107" t="n">
        <x:f>'Audit Inputs'!H6</x:f>
        <x:v>26.56</x:v>
      </x:c>
      <x:c r="F6" s="107" t="n">
        <x:f>'Audit Inputs'!I6</x:f>
        <x:v>5.52</x:v>
      </x:c>
      <x:c r="G6" s="110" t="n">
        <x:f>('Audit Inputs'!D6-'Audit Inputs'!C6)/365</x:f>
        <x:v>0.07945205479452055</x:v>
      </x:c>
      <x:c r="H6" s="80" t="n">
        <x:f>B6*EXP((F6/100)*G6)</x:f>
        <x:v>87.6736731493622</x:v>
      </x:c>
      <x:c r="I6" s="80" t="n">
        <x:f>H6*(1+'Assumptions'!$B$9)</x:f>
        <x:v>92.05735680683031</x:v>
      </x:c>
      <x:c r="J6" s="113" t="n">
        <x:f>'Audit Inputs'!J6</x:f>
        <x:v>83.6795552640829</x:v>
      </x:c>
      <x:c r="K6" s="116" t="n">
        <x:f>(LN(H6/I6)+0.5*(E6/100)^2*G6)/((E6/100)*SQRT(G6))</x:f>
        <x:v>-0.6142732280089308</x:v>
      </x:c>
      <x:c r="L6" s="116" t="n">
        <x:f>K6-(E6/100)*SQRT(G6)</x:f>
        <x:v>-0.689138539763505</x:v>
      </x:c>
      <x:c r="M6" s="83" t="n">
        <x:f>EXP(-(F6/100)*G6)*(H6*NORM.S.DIST(K6,TRUE)-I6*NORM.S.DIST(L6,TRUE))</x:f>
        <x:v>1.0370879995882967</x:v>
      </x:c>
      <x:c r="N6" s="83" t="n">
        <x:f>(LN(H6/J6)+0.5*(E6/100)^2*G6)/((E6/100)*SQRT(G6))</x:f>
        <x:v>0.6602441489228672</x:v>
      </x:c>
      <x:c r="O6" s="83" t="n">
        <x:f>N6-(E6/100)*SQRT(G6)</x:f>
        <x:v>0.585378837168293</x:v>
      </x:c>
      <x:c r="P6" s="83" t="n">
        <x:f>EXP(-(F6/100)*G6)*(J6*NORM.S.DIST(-O6,TRUE)-H6*NORM.S.DIST(-N6,TRUE))</x:f>
        <x:v>1.0370879995883038</x:v>
      </x:c>
      <x:c r="Q6" s="83" t="n">
        <x:f>D6-'Assumptions'!$B$8*(C6-H6)/'Assumptions'!$B$16+'Assumptions'!$B$8*'Assumptions'!$B$14</x:f>
        <x:v>2.9932802595922547</x:v>
      </x:c>
      <x:c r="R6" s="83" t="n">
        <x:f>D6-'Assumptions'!$B$8*MAX(C6-I6,0)/'Assumptions'!$B$16+'Assumptions'!$B$8*M6/'Assumptions'!$B$16+'Assumptions'!$B$8*'Assumptions'!$B$15</x:f>
        <x:v>3.1064482884285685</x:v>
      </x:c>
      <x:c r="S6" s="83" t="n">
        <x:f>D6-'Assumptions'!$B$8*(MAX(C6-I6,0)-MAX(J6-C6,0))/'Assumptions'!$B$16+'Assumptions'!$B$8*'Assumptions'!$B$15</x:f>
        <x:v>3.0849637358953137</x:v>
      </x:c>
      <x:c r="T6" s="83" t="n">
        <x:f>'Assumptions'!$B$10*D6+'Assumptions'!$B$11*Q6+'Assumptions'!$B$12*R6+'Assumptions'!$B$13*S6</x:f>
        <x:v>3.071401224605496</x:v>
      </x:c>
      <x:c r="U6" s="119" t="n">
        <x:f>(D6-T6)*'Assumptions'!$B$5</x:f>
        <x:v>905987.7539450412</x:v>
      </x:c>
      <x:c r="V6" s="122" t="n">
        <x:f>ABS(M6-P6)</x:f>
        <x:v>7.105427357601002e-15</x:v>
      </x:c>
      <x:c r="W6" s="458"/>
      <x:c r="X6" s="462" t="str">
        <x:v>Unhedged total cost</x:v>
      </x:c>
      <x:c r="Y6" s="463" t="n">
        <x:f>SUM(D5:D39)*'Assumptions'!$B$5</x:f>
        <x:v>856280000.0000001</x:v>
      </x:c>
    </x:row>
    <x:row r="7">
      <x:c r="A7" s="101" t="n">
        <x:f>'Audit Inputs'!B7</x:f>
        <x:v>45230</x:v>
      </x:c>
      <x:c r="B7" s="104" t="n">
        <x:f>'Audit Inputs'!E7</x:f>
        <x:v>95.86</x:v>
      </x:c>
      <x:c r="C7" s="104" t="n">
        <x:f>'Audit Inputs'!F7</x:f>
        <x:v>86.82</x:v>
      </x:c>
      <x:c r="D7" s="104" t="n">
        <x:f>'Audit Inputs'!G7</x:f>
        <x:v>2.869</x:v>
      </x:c>
      <x:c r="E7" s="107" t="n">
        <x:f>'Audit Inputs'!H7</x:f>
        <x:v>32.24</x:v>
      </x:c>
      <x:c r="F7" s="107" t="n">
        <x:f>'Audit Inputs'!I7</x:f>
        <x:v>5.55</x:v>
      </x:c>
      <x:c r="G7" s="110" t="n">
        <x:f>('Audit Inputs'!D7-'Audit Inputs'!C7)/365</x:f>
        <x:v>0.08767123287671233</x:v>
      </x:c>
      <x:c r="H7" s="80" t="n">
        <x:f>B7*EXP((F7/100)*G7)</x:f>
        <x:v>96.3275677354492</x:v>
      </x:c>
      <x:c r="I7" s="80" t="n">
        <x:f>H7*(1+'Assumptions'!$B$9)</x:f>
        <x:v>101.14394612222166</x:v>
      </x:c>
      <x:c r="J7" s="113" t="n">
        <x:f>'Audit Inputs'!J7</x:f>
        <x:v>92.00710267447246</x:v>
      </x:c>
      <x:c r="K7" s="116" t="n">
        <x:f>(LN(H7/I7)+0.5*(E7/100)^2*G7)/((E7/100)*SQRT(G7))</x:f>
        <x:v>-0.46337306769953013</x:v>
      </x:c>
      <x:c r="L7" s="116" t="n">
        <x:f>K7-(E7/100)*SQRT(G7)</x:f>
        <x:v>-0.5588335424866133</x:v>
      </x:c>
      <x:c r="M7" s="83" t="n">
        <x:f>EXP(-(F7/100)*G7)*(H7*NORM.S.DIST(K7,TRUE)-I7*NORM.S.DIST(L7,TRUE))</x:f>
        <x:v>1.8217179398540557</x:v>
      </x:c>
      <x:c r="N7" s="83" t="n">
        <x:f>(LN(H7/J7)+0.5*(E7/100)^2*G7)/((E7/100)*SQRT(G7))</x:f>
        <x:v>0.5284398735655204</x:v>
      </x:c>
      <x:c r="O7" s="83" t="n">
        <x:f>N7-(E7/100)*SQRT(G7)</x:f>
        <x:v>0.43297939877843716</x:v>
      </x:c>
      <x:c r="P7" s="83" t="n">
        <x:f>EXP(-(F7/100)*G7)*(J7*NORM.S.DIST(-O7,TRUE)-H7*NORM.S.DIST(-N7,TRUE))</x:f>
        <x:v>1.8217179398540557</x:v>
      </x:c>
      <x:c r="Q7" s="83" t="n">
        <x:f>D7-'Assumptions'!$B$8*(C7-H7)/'Assumptions'!$B$16+'Assumptions'!$B$8*'Assumptions'!$B$14</x:f>
        <x:v>3.0668310324327166</x:v>
      </x:c>
      <x:c r="R7" s="83" t="n">
        <x:f>D7-'Assumptions'!$B$8*MAX(C7-I7,0)/'Assumptions'!$B$16+'Assumptions'!$B$8*M7/'Assumptions'!$B$16+'Assumptions'!$B$8*'Assumptions'!$B$15</x:f>
        <x:v>2.9084792893260882</x:v>
      </x:c>
      <x:c r="S7" s="83" t="n">
        <x:f>D7-'Assumptions'!$B$8*(MAX(C7-I7,0)-MAX(J7-C7,0))/'Assumptions'!$B$16+'Assumptions'!$B$8*'Assumptions'!$B$15</x:f>
        <x:v>2.978197370293399</x:v>
      </x:c>
      <x:c r="T7" s="83" t="n">
        <x:f>'Assumptions'!$B$10*D7+'Assumptions'!$B$11*Q7+'Assumptions'!$B$12*R7+'Assumptions'!$B$13*S7</x:f>
        <x:v>2.980891624061106</x:v>
      </x:c>
      <x:c r="U7" s="119" t="n">
        <x:f>(D7-T7)*'Assumptions'!$B$5</x:f>
        <x:v>-1118916.2406110587</x:v>
      </x:c>
      <x:c r="V7" s="122" t="n">
        <x:f>ABS(M7-P7)</x:f>
        <x:v>0</x:v>
      </x:c>
      <x:c r="W7" s="458"/>
      <x:c r="X7" s="462" t="str">
        <x:v>Futures total cost</x:v>
      </x:c>
      <x:c r="Y7" s="463" t="n">
        <x:f>SUM(Q5:Q39)*'Assumptions'!$B$5</x:f>
        <x:v>861935770.1033614</x:v>
      </x:c>
    </x:row>
    <x:row r="8">
      <x:c r="A8" s="101" t="n">
        <x:f>'Audit Inputs'!B8</x:f>
        <x:v>45260</x:v>
      </x:c>
      <x:c r="B8" s="104" t="n">
        <x:f>'Audit Inputs'!E8</x:f>
        <x:v>86.82</x:v>
      </x:c>
      <x:c r="C8" s="104" t="n">
        <x:f>'Audit Inputs'!F8</x:f>
        <x:v>81.72</x:v>
      </x:c>
      <x:c r="D8" s="104" t="n">
        <x:f>'Audit Inputs'!G8</x:f>
        <x:v>2.476</x:v>
      </x:c>
      <x:c r="E8" s="107" t="n">
        <x:f>'Audit Inputs'!H8</x:f>
        <x:v>41.99</x:v>
      </x:c>
      <x:c r="F8" s="107" t="n">
        <x:f>'Audit Inputs'!I8</x:f>
        <x:v>5.56</x:v>
      </x:c>
      <x:c r="G8" s="110" t="n">
        <x:f>('Audit Inputs'!D8-'Audit Inputs'!C8)/365</x:f>
        <x:v>0.0821917808219178</x:v>
      </x:c>
      <x:c r="H8" s="80" t="n">
        <x:f>B8*EXP((F8/100)*G8)</x:f>
        <x:v>87.21766344853695</x:v>
      </x:c>
      <x:c r="I8" s="80" t="n">
        <x:f>H8*(1+'Assumptions'!$B$9)</x:f>
        <x:v>91.5785466209638</x:v>
      </x:c>
      <x:c r="J8" s="113" t="n">
        <x:f>'Audit Inputs'!J8</x:f>
        <x:v>83.37991143303654</x:v>
      </x:c>
      <x:c r="K8" s="116" t="n">
        <x:f>(LN(H8/I8)+0.5*(E8/100)^2*G8)/((E8/100)*SQRT(G8))</x:f>
        <x:v>-0.34510510505055947</x:v>
      </x:c>
      <x:c r="L8" s="116" t="n">
        <x:f>K8-(E8/100)*SQRT(G8)</x:f>
        <x:v>-0.46548669354861455</x:v>
      </x:c>
      <x:c r="M8" s="83" t="n">
        <x:f>EXP(-(F8/100)*G8)*(H8*NORM.S.DIST(K8,TRUE)-I8*NORM.S.DIST(L8,TRUE))</x:f>
        <x:v>2.4462943096118215</x:v>
      </x:c>
      <x:c r="N8" s="83" t="n">
        <x:f>(LN(H8/J8)+0.5*(E8/100)^2*G8)/((E8/100)*SQRT(G8))</x:f>
        <x:v>0.4339976463035768</x:v>
      </x:c>
      <x:c r="O8" s="83" t="n">
        <x:f>N8-(E8/100)*SQRT(G8)</x:f>
        <x:v>0.3136160578055217</x:v>
      </x:c>
      <x:c r="P8" s="83" t="n">
        <x:f>EXP(-(F8/100)*G8)*(J8*NORM.S.DIST(-O8,TRUE)-H8*NORM.S.DIST(-N8,TRUE))</x:f>
        <x:v>2.4462943096118215</x:v>
      </x:c>
      <x:c r="Q8" s="83" t="n">
        <x:f>D8-'Assumptions'!$B$8*(C8-H8)/'Assumptions'!$B$16+'Assumptions'!$B$8*'Assumptions'!$B$14</x:f>
        <x:v>2.590760936799858</x:v>
      </x:c>
      <x:c r="R8" s="83" t="n">
        <x:f>D8-'Assumptions'!$B$8*MAX(C8-I8,0)/'Assumptions'!$B$16+'Assumptions'!$B$8*M8/'Assumptions'!$B$16+'Assumptions'!$B$8*'Assumptions'!$B$15</x:f>
        <x:v>2.528418156454449</x:v>
      </x:c>
      <x:c r="S8" s="83" t="n">
        <x:f>D8-'Assumptions'!$B$8*(MAX(C8-I8,0)-MAX(J8-C8,0))/'Assumptions'!$B$16+'Assumptions'!$B$8*'Assumptions'!$B$15</x:f>
        <x:v>2.512127268670827</x:v>
      </x:c>
      <x:c r="T8" s="83" t="n">
        <x:f>'Assumptions'!$B$10*D8+'Assumptions'!$B$11*Q8+'Assumptions'!$B$12*R8+'Assumptions'!$B$13*S8</x:f>
        <x:v>2.5327425553211915</x:v>
      </x:c>
      <x:c r="U8" s="119" t="n">
        <x:f>(D8-T8)*'Assumptions'!$B$5</x:f>
        <x:v>-567425.5532119154</x:v>
      </x:c>
      <x:c r="V8" s="122" t="n">
        <x:f>ABS(M8-P8)</x:f>
        <x:v>0</x:v>
      </x:c>
      <x:c r="W8" s="458"/>
      <x:c r="X8" s="462" t="str">
        <x:v>Call total cost</x:v>
      </x:c>
      <x:c r="Y8" s="463" t="n">
        <x:f>SUM(R5:R39)*'Assumptions'!$B$5</x:f>
        <x:v>858345238.9063562</x:v>
      </x:c>
    </x:row>
    <x:row r="9">
      <x:c r="A9" s="101" t="n">
        <x:f>'Audit Inputs'!B9</x:f>
        <x:v>45291</x:v>
      </x:c>
      <x:c r="B9" s="104" t="n">
        <x:f>'Audit Inputs'!E9</x:f>
        <x:v>81.72</x:v>
      </x:c>
      <x:c r="C9" s="104" t="n">
        <x:f>'Audit Inputs'!F9</x:f>
        <x:v>77.69</x:v>
      </x:c>
      <x:c r="D9" s="104" t="n">
        <x:f>'Audit Inputs'!G9</x:f>
        <x:v>2.365</x:v>
      </x:c>
      <x:c r="E9" s="107" t="n">
        <x:f>'Audit Inputs'!H9</x:f>
        <x:v>39.4</x:v>
      </x:c>
      <x:c r="F9" s="107" t="n">
        <x:f>'Audit Inputs'!I9</x:f>
        <x:v>5.56</x:v>
      </x:c>
      <x:c r="G9" s="110" t="n">
        <x:f>('Audit Inputs'!D9-'Audit Inputs'!C9)/365</x:f>
        <x:v>0.07945205479452055</x:v>
      </x:c>
      <x:c r="H9" s="80" t="n">
        <x:f>B9*EXP((F9/100)*G9)</x:f>
        <x:v>82.08179944097624</x:v>
      </x:c>
      <x:c r="I9" s="80" t="n">
        <x:f>H9*(1+'Assumptions'!$B$9)</x:f>
        <x:v>86.18588941302505</x:v>
      </x:c>
      <x:c r="J9" s="113" t="n">
        <x:f>'Audit Inputs'!J9</x:f>
        <x:v>78.4440077459436</x:v>
      </x:c>
      <x:c r="K9" s="116" t="n">
        <x:f>(LN(H9/I9)+0.5*(E9/100)^2*G9)/((E9/100)*SQRT(G9))</x:f>
        <x:v>-0.383793680559838</x:v>
      </x:c>
      <x:c r="L9" s="116" t="n">
        <x:f>K9-(E9/100)*SQRT(G9)</x:f>
        <x:v>-0.4948514095933555</x:v>
      </x:c>
      <x:c r="M9" s="83" t="n">
        <x:f>EXP(-(F9/100)*G9)*(H9*NORM.S.DIST(K9,TRUE)-I9*NORM.S.DIST(L9,TRUE))</x:f>
        <x:v>2.0181207393781113</x:v>
      </x:c>
      <x:c r="N9" s="83" t="n">
        <x:f>(LN(H9/J9)+0.5*(E9/100)^2*G9)/((E9/100)*SQRT(G9))</x:f>
        <x:v>0.46370586783766116</x:v>
      </x:c>
      <x:c r="O9" s="83" t="n">
        <x:f>N9-(E9/100)*SQRT(G9)</x:f>
        <x:v>0.3526481388041437</x:v>
      </x:c>
      <x:c r="P9" s="83" t="n">
        <x:f>EXP(-(F9/100)*G9)*(J9*NORM.S.DIST(-O9,TRUE)-H9*NORM.S.DIST(-N9,TRUE))</x:f>
        <x:v>2.0181207393781113</x:v>
      </x:c>
      <x:c r="Q9" s="83" t="n">
        <x:f>D9-'Assumptions'!$B$8*(C9-H9)/'Assumptions'!$B$16+'Assumptions'!$B$8*'Assumptions'!$B$14</x:f>
        <x:v>2.4568516047330466</x:v>
      </x:c>
      <x:c r="R9" s="83" t="n">
        <x:f>D9-'Assumptions'!$B$8*MAX(C9-I9,0)/'Assumptions'!$B$16+'Assumptions'!$B$8*M9/'Assumptions'!$B$16+'Assumptions'!$B$8*'Assumptions'!$B$15</x:f>
        <x:v>2.4085480147049645</x:v>
      </x:c>
      <x:c r="S9" s="83" t="n">
        <x:f>D9-'Assumptions'!$B$8*(MAX(C9-I9,0)-MAX(J9-C9,0))/'Assumptions'!$B$16+'Assumptions'!$B$8*'Assumptions'!$B$15</x:f>
        <x:v>2.3823603604015733</x:v>
      </x:c>
      <x:c r="T9" s="83" t="n">
        <x:f>'Assumptions'!$B$10*D9+'Assumptions'!$B$11*Q9+'Assumptions'!$B$12*R9+'Assumptions'!$B$13*S9</x:f>
        <x:v>2.4069487500136906</x:v>
      </x:c>
      <x:c r="U9" s="119" t="n">
        <x:f>(D9-T9)*'Assumptions'!$B$5</x:f>
        <x:v>-419487.5001369036</x:v>
      </x:c>
      <x:c r="V9" s="122" t="n">
        <x:f>ABS(M9-P9)</x:f>
        <x:v>0</x:v>
      </x:c>
      <x:c r="W9" s="458"/>
      <x:c r="X9" s="462" t="str">
        <x:v>Collar total cost</x:v>
      </x:c>
      <x:c r="Y9" s="463" t="n">
        <x:f>SUM(S5:S39)*'Assumptions'!$B$5</x:f>
        <x:v>858802791.0929128</x:v>
      </x:c>
    </x:row>
    <x:row r="10">
      <x:c r="A10" s="101" t="n">
        <x:f>'Audit Inputs'!B10</x:f>
        <x:v>45322</x:v>
      </x:c>
      <x:c r="B10" s="104" t="n">
        <x:f>'Audit Inputs'!E10</x:f>
        <x:v>77.69</x:v>
      </x:c>
      <x:c r="C10" s="104" t="n">
        <x:f>'Audit Inputs'!F10</x:f>
        <x:v>82.98</x:v>
      </x:c>
      <x:c r="D10" s="104" t="n">
        <x:f>'Audit Inputs'!G10</x:f>
        <x:v>2.7</x:v>
      </x:c>
      <x:c r="E10" s="107" t="n">
        <x:f>'Audit Inputs'!H10</x:f>
        <x:v>36.22</x:v>
      </x:c>
      <x:c r="F10" s="107" t="n">
        <x:f>'Audit Inputs'!I10</x:f>
        <x:v>5.6</x:v>
      </x:c>
      <x:c r="G10" s="110" t="n">
        <x:f>('Audit Inputs'!D10-'Audit Inputs'!C10)/365</x:f>
        <x:v>0.09041095890410959</x:v>
      </x:c>
      <x:c r="H10" s="80" t="n">
        <x:f>B10*EXP((F10/100)*G10)</x:f>
        <x:v>78.08434297380023</x:v>
      </x:c>
      <x:c r="I10" s="80" t="n">
        <x:f>H10*(1+'Assumptions'!$B$9)</x:f>
        <x:v>81.98856012249024</x:v>
      </x:c>
      <x:c r="J10" s="113" t="n">
        <x:f>'Audit Inputs'!J10</x:f>
        <x:v>74.61799292806325</x:v>
      </x:c>
      <x:c r="K10" s="116" t="n">
        <x:f>(LN(H10/I10)+0.5*(E10/100)^2*G10)/((E10/100)*SQRT(G10))</x:f>
        <x:v>-0.39354123305279115</x:v>
      </x:c>
      <x:c r="L10" s="116" t="n">
        <x:f>K10-(E10/100)*SQRT(G10)</x:f>
        <x:v>-0.5024490326904563</x:v>
      </x:c>
      <x:c r="M10" s="83" t="n">
        <x:f>EXP(-(F10/100)*G10)*(H10*NORM.S.DIST(K10,TRUE)-I10*NORM.S.DIST(L10,TRUE))</x:f>
        <x:v>1.8568102545336285</x:v>
      </x:c>
      <x:c r="N10" s="83" t="n">
        <x:f>(LN(H10/J10)+0.5*(E10/100)^2*G10)/((E10/100)*SQRT(G10))</x:f>
        <x:v>0.47139274735091874</x:v>
      </x:c>
      <x:c r="O10" s="83" t="n">
        <x:f>N10-(E10/100)*SQRT(G10)</x:f>
        <x:v>0.3624849477132536</x:v>
      </x:c>
      <x:c r="P10" s="83" t="n">
        <x:f>EXP(-(F10/100)*G10)*(J10*NORM.S.DIST(-O10,TRUE)-H10*NORM.S.DIST(-N10,TRUE))</x:f>
        <x:v>1.8568102545336214</x:v>
      </x:c>
      <x:c r="Q10" s="83" t="n">
        <x:f>D10-'Assumptions'!$B$8*(C10-H10)/'Assumptions'!$B$16+'Assumptions'!$B$8*'Assumptions'!$B$14</x:f>
        <x:v>2.599450529367627</x:v>
      </x:c>
      <x:c r="R10" s="83" t="n">
        <x:f>D10-'Assumptions'!$B$8*MAX(C10-I10,0)/'Assumptions'!$B$16+'Assumptions'!$B$8*M10/'Assumptions'!$B$16+'Assumptions'!$B$8*'Assumptions'!$B$15</x:f>
        <x:v>2.719667374173438</x:v>
      </x:c>
      <x:c r="S10" s="83" t="n">
        <x:f>D10-'Assumptions'!$B$8*(MAX(C10-I10,0)-MAX(J10-C10,0))/'Assumptions'!$B$16+'Assumptions'!$B$8*'Assumptions'!$B$15</x:f>
        <x:v>2.6812012676582238</x:v>
      </x:c>
      <x:c r="T10" s="83" t="n">
        <x:f>'Assumptions'!$B$10*D10+'Assumptions'!$B$11*Q10+'Assumptions'!$B$12*R10+'Assumptions'!$B$13*S10</x:f>
        <x:v>2.6541405920445182</x:v>
      </x:c>
      <x:c r="U10" s="119" t="n">
        <x:f>(D10-T10)*'Assumptions'!$B$5</x:f>
        <x:v>458594.0795548193</x:v>
      </x:c>
      <x:c r="V10" s="122" t="n">
        <x:f>ABS(M10-P10)</x:f>
        <x:v>7.105427357601002e-15</x:v>
      </x:c>
      <x:c r="W10" s="458"/>
      <x:c r="X10" s="462" t="str">
        <x:v>Hybrid total cost</x:v>
      </x:c>
      <x:c r="Y10" s="463" t="n">
        <x:f>SUM(T5:T39)*'Assumptions'!$B$5</x:f>
        <x:v>859299145.3692186</x:v>
      </x:c>
    </x:row>
    <x:row r="11">
      <x:c r="A11" s="101" t="n">
        <x:f>'Audit Inputs'!B11</x:f>
        <x:v>45351</x:v>
      </x:c>
      <x:c r="B11" s="104" t="n">
        <x:f>'Audit Inputs'!E11</x:f>
        <x:v>82.98</x:v>
      </x:c>
      <x:c r="C11" s="104" t="n">
        <x:f>'Audit Inputs'!F11</x:f>
        <x:v>84.57</x:v>
      </x:c>
      <x:c r="D11" s="104" t="n">
        <x:f>'Audit Inputs'!G11</x:f>
        <x:v>2.552</x:v>
      </x:c>
      <x:c r="E11" s="107" t="n">
        <x:f>'Audit Inputs'!H11</x:f>
        <x:v>37.25</x:v>
      </x:c>
      <x:c r="F11" s="107" t="n">
        <x:f>'Audit Inputs'!I11</x:f>
        <x:v>5.53</x:v>
      </x:c>
      <x:c r="G11" s="110" t="n">
        <x:f>('Audit Inputs'!D11-'Audit Inputs'!C11)/365</x:f>
        <x:v>0.07945205479452055</x:v>
      </x:c>
      <x:c r="H11" s="80" t="n">
        <x:f>B11*EXP((F11/100)*G11)</x:f>
        <x:v>83.34539123400052</x:v>
      </x:c>
      <x:c r="I11" s="80" t="n">
        <x:f>H11*(1+'Assumptions'!$B$9)</x:f>
        <x:v>87.51266079570054</x:v>
      </x:c>
      <x:c r="J11" s="113" t="n">
        <x:f>'Audit Inputs'!J11</x:f>
        <x:v>79.63437082954442</x:v>
      </x:c>
      <x:c r="K11" s="116" t="n">
        <x:f>(LN(H11/I11)+0.5*(E11/100)^2*G11)/((E11/100)*SQRT(G11))</x:f>
        <x:v>-0.4121806806827721</x:v>
      </x:c>
      <x:c r="L11" s="116" t="n">
        <x:f>K11-(E11/100)*SQRT(G11)</x:f>
        <x:v>-0.5171781529289275</x:v>
      </x:c>
      <x:c r="M11" s="83" t="n">
        <x:f>EXP(-(F11/100)*G11)*(H11*NORM.S.DIST(K11,TRUE)-I11*NORM.S.DIST(L11,TRUE))</x:f>
        <x:v>1.8638803690956496</x:v>
      </x:c>
      <x:c r="N11" s="83" t="n">
        <x:f>(LN(H11/J11)+0.5*(E11/100)^2*G11)/((E11/100)*SQRT(G11))</x:f>
        <x:v>0.48629507964913377</x:v>
      </x:c>
      <x:c r="O11" s="83" t="n">
        <x:f>N11-(E11/100)*SQRT(G11)</x:f>
        <x:v>0.38129760740297824</x:v>
      </x:c>
      <x:c r="P11" s="83" t="n">
        <x:f>EXP(-(F11/100)*G11)*(J11*NORM.S.DIST(-O11,TRUE)-H11*NORM.S.DIST(-N11,TRUE))</x:f>
        <x:v>1.8638803690956214</x:v>
      </x:c>
      <x:c r="Q11" s="83" t="n">
        <x:f>D11-'Assumptions'!$B$8*(C11-H11)/'Assumptions'!$B$16+'Assumptions'!$B$8*'Assumptions'!$B$14</x:f>
        <x:v>2.5275008059398147</x:v>
      </x:c>
      <x:c r="R11" s="83" t="n">
        <x:f>D11-'Assumptions'!$B$8*MAX(C11-I11,0)/'Assumptions'!$B$16+'Assumptions'!$B$8*M11/'Assumptions'!$B$16+'Assumptions'!$B$8*'Assumptions'!$B$15</x:f>
        <x:v>2.592352735867105</x:v>
      </x:c>
      <x:c r="S11" s="83" t="n">
        <x:f>D11-'Assumptions'!$B$8*(MAX(C11-I11,0)-MAX(J11-C11,0))/'Assumptions'!$B$16+'Assumptions'!$B$8*'Assumptions'!$B$15</x:f>
        <x:v>2.553740163239291</x:v>
      </x:c>
      <x:c r="T11" s="83" t="n">
        <x:f>'Assumptions'!$B$10*D11+'Assumptions'!$B$11*Q11+'Assumptions'!$B$12*R11+'Assumptions'!$B$13*S11</x:f>
        <x:v>2.542722371347713</x:v>
      </x:c>
      <x:c r="U11" s="119" t="n">
        <x:f>(D11-T11)*'Assumptions'!$B$5</x:f>
        <x:v>92776.28652287096</x:v>
      </x:c>
      <x:c r="V11" s="122" t="n">
        <x:f>ABS(M11-P11)</x:f>
        <x:v>2.8199664825478976e-14</x:v>
      </x:c>
      <x:c r="W11" s="458"/>
      <x:c r="X11" s="462" t="str">
        <x:v>Full-window savings</x:v>
      </x:c>
      <x:c r="Y11" s="463" t="n">
        <x:f>Y6-Y10</x:f>
        <x:v>-3019145.3692184687</x:v>
      </x:c>
    </x:row>
    <x:row r="12">
      <x:c r="A12" s="101" t="n">
        <x:f>'Audit Inputs'!B12</x:f>
        <x:v>45382</x:v>
      </x:c>
      <x:c r="B12" s="104" t="n">
        <x:f>'Audit Inputs'!E12</x:f>
        <x:v>84.57</x:v>
      </x:c>
      <x:c r="C12" s="104" t="n">
        <x:f>'Audit Inputs'!F12</x:f>
        <x:v>86.17</x:v>
      </x:c>
      <x:c r="D12" s="104" t="n">
        <x:f>'Audit Inputs'!G12</x:f>
        <x:v>2.526</x:v>
      </x:c>
      <x:c r="E12" s="107" t="n">
        <x:f>'Audit Inputs'!H12</x:f>
        <x:v>31.5</x:v>
      </x:c>
      <x:c r="F12" s="107" t="n">
        <x:f>'Audit Inputs'!I12</x:f>
        <x:v>5.53</x:v>
      </x:c>
      <x:c r="G12" s="110" t="n">
        <x:f>('Audit Inputs'!D12-'Audit Inputs'!C12)/365</x:f>
        <x:v>0.07671232876712329</x:v>
      </x:c>
      <x:c r="H12" s="80" t="n">
        <x:f>B12*EXP((F12/100)*G12)</x:f>
        <x:v>84.92952420504591</x:v>
      </x:c>
      <x:c r="I12" s="80" t="n">
        <x:f>H12*(1+'Assumptions'!$B$9)</x:f>
        <x:v>89.1760004152982</x:v>
      </x:c>
      <x:c r="J12" s="113" t="n">
        <x:f>'Audit Inputs'!J12</x:f>
        <x:v>81.09639782849825</x:v>
      </x:c>
      <x:c r="K12" s="116" t="n">
        <x:f>(LN(H12/I12)+0.5*(E12/100)^2*G12)/((E12/100)*SQRT(G12))</x:f>
        <x:v>-0.5156055414159896</x:v>
      </x:c>
      <x:c r="L12" s="116" t="n">
        <x:f>K12-(E12/100)*SQRT(G12)</x:f>
        <x:v>-0.6028510617704341</x:v>
      </x:c>
      <x:c r="M12" s="83" t="n">
        <x:f>EXP(-(F12/100)*G12)*(H12*NORM.S.DIST(K12,TRUE)-I12*NORM.S.DIST(L12,TRUE))</x:f>
        <x:v>1.361229249464461</x:v>
      </x:c>
      <x:c r="N12" s="83" t="n">
        <x:f>(LN(H12/J12)+0.5*(E12/100)^2*G12)/((E12/100)*SQRT(G12))</x:f>
        <x:v>0.5729707618903559</x:v>
      </x:c>
      <x:c r="O12" s="83" t="n">
        <x:f>N12-(E12/100)*SQRT(G12)</x:f>
        <x:v>0.4857252415359113</x:v>
      </x:c>
      <x:c r="P12" s="83" t="n">
        <x:f>EXP(-(F12/100)*G12)*(J12*NORM.S.DIST(-O12,TRUE)-H12*NORM.S.DIST(-N12,TRUE))</x:f>
        <x:v>1.3612292494644682</x:v>
      </x:c>
      <x:c r="Q12" s="83" t="n">
        <x:f>D12-'Assumptions'!$B$8*(C12-H12)/'Assumptions'!$B$16+'Assumptions'!$B$8*'Assumptions'!$B$14</x:f>
        <x:v>2.501172100933819</x:v>
      </x:c>
      <x:c r="R12" s="83" t="n">
        <x:f>D12-'Assumptions'!$B$8*MAX(C12-I12,0)/'Assumptions'!$B$16+'Assumptions'!$B$8*M12/'Assumptions'!$B$16+'Assumptions'!$B$8*'Assumptions'!$B$15</x:f>
        <x:v>2.5559397001460256</x:v>
      </x:c>
      <x:c r="S12" s="83" t="n">
        <x:f>D12-'Assumptions'!$B$8*(MAX(C12-I12,0)-MAX(J12-C12,0))/'Assumptions'!$B$16+'Assumptions'!$B$8*'Assumptions'!$B$15</x:f>
        <x:v>2.5277401632392906</x:v>
      </x:c>
      <x:c r="T12" s="83" t="n">
        <x:f>'Assumptions'!$B$10*D12+'Assumptions'!$B$11*Q12+'Assumptions'!$B$12*R12+'Assumptions'!$B$13*S12</x:f>
        <x:v>2.5165908893453146</x:v>
      </x:c>
      <x:c r="U12" s="119" t="n">
        <x:f>(D12-T12)*'Assumptions'!$B$5</x:f>
        <x:v>94091.10654685194</x:v>
      </x:c>
      <x:c r="V12" s="122" t="n">
        <x:f>ABS(M12-P12)</x:f>
        <x:v>7.105427357601002e-15</x:v>
      </x:c>
      <x:c r="W12" s="458"/>
      <x:c r="X12" s="462" t="str">
        <x:v>2026 shock savings</x:v>
      </x:c>
      <x:c r="Y12" s="463" t="n">
        <x:f>SUMIFS(U5:U39,A5:A39,"&gt;="&amp;DATE(2026,1,31))</x:f>
        <x:v>1419590.7121625291</x:v>
      </x:c>
    </x:row>
    <x:row r="13">
      <x:c r="A13" s="101" t="n">
        <x:f>'Audit Inputs'!B13</x:f>
        <x:v>45412</x:v>
      </x:c>
      <x:c r="B13" s="104" t="n">
        <x:f>'Audit Inputs'!E13</x:f>
        <x:v>86.17</x:v>
      </x:c>
      <x:c r="C13" s="104" t="n">
        <x:f>'Audit Inputs'!F13</x:f>
        <x:v>88.23</x:v>
      </x:c>
      <x:c r="D13" s="104" t="n">
        <x:f>'Audit Inputs'!G13</x:f>
        <x:v>2.47</x:v>
      </x:c>
      <x:c r="E13" s="107" t="n">
        <x:f>'Audit Inputs'!H13</x:f>
        <x:v>26.27</x:v>
      </x:c>
      <x:c r="F13" s="107" t="n">
        <x:f>'Audit Inputs'!I13</x:f>
        <x:v>5.49</x:v>
      </x:c>
      <x:c r="G13" s="110" t="n">
        <x:f>('Audit Inputs'!D13-'Audit Inputs'!C13)/365</x:f>
        <x:v>0.09041095890410959</x:v>
      </x:c>
      <x:c r="H13" s="80" t="n">
        <x:f>B13*EXP((F13/100)*G13)</x:f>
        <x:v>86.59877334801631</x:v>
      </x:c>
      <x:c r="I13" s="80" t="n">
        <x:f>H13*(1+'Assumptions'!$B$9)</x:f>
        <x:v>90.92871201541713</x:v>
      </x:c>
      <x:c r="J13" s="113" t="n">
        <x:f>'Audit Inputs'!J13</x:f>
        <x:v>82.66583573671147</x:v>
      </x:c>
      <x:c r="K13" s="116" t="n">
        <x:f>(LN(H13/I13)+0.5*(E13/100)^2*G13)/((E13/100)*SQRT(G13))</x:f>
        <x:v>-0.5781824763635786</x:v>
      </x:c>
      <x:c r="L13" s="116" t="n">
        <x:f>K13-(E13/100)*SQRT(G13)</x:f>
        <x:v>-0.6571722029367829</x:v>
      </x:c>
      <x:c r="M13" s="83" t="n">
        <x:f>EXP(-(F13/100)*G13)*(H13*NORM.S.DIST(K13,TRUE)-I13*NORM.S.DIST(L13,TRUE))</x:f>
        <x:v>1.1424944988269339</x:v>
      </x:c>
      <x:c r="N13" s="83" t="n">
        <x:f>(LN(H13/J13)+0.5*(E13/100)^2*G13)/((E13/100)*SQRT(G13))</x:f>
        <x:v>0.627916257277878</x:v>
      </x:c>
      <x:c r="O13" s="83" t="n">
        <x:f>N13-(E13/100)*SQRT(G13)</x:f>
        <x:v>0.5489265307046737</x:v>
      </x:c>
      <x:c r="P13" s="83" t="n">
        <x:f>EXP(-(F13/100)*G13)*(J13*NORM.S.DIST(-O13,TRUE)-H13*NORM.S.DIST(-N13,TRUE))</x:f>
        <x:v>1.1424944988269268</x:v>
      </x:c>
      <x:c r="Q13" s="83" t="n">
        <x:f>D13-'Assumptions'!$B$8*(C13-H13)/'Assumptions'!$B$16+'Assumptions'!$B$8*'Assumptions'!$B$14</x:f>
        <x:v>2.437077216682339</x:v>
      </x:c>
      <x:c r="R13" s="83" t="n">
        <x:f>D13-'Assumptions'!$B$8*MAX(C13-I13,0)/'Assumptions'!$B$16+'Assumptions'!$B$8*M13/'Assumptions'!$B$16+'Assumptions'!$B$8*'Assumptions'!$B$15</x:f>
        <x:v>2.4954083409529915</x:v>
      </x:c>
      <x:c r="S13" s="83" t="n">
        <x:f>D13-'Assumptions'!$B$8*(MAX(C13-I13,0)-MAX(J13-C13,0))/'Assumptions'!$B$16+'Assumptions'!$B$8*'Assumptions'!$B$15</x:f>
        <x:v>2.471740163239291</x:v>
      </x:c>
      <x:c r="T13" s="83" t="n">
        <x:f>'Assumptions'!$B$10*D13+'Assumptions'!$B$11*Q13+'Assumptions'!$B$12*R13+'Assumptions'!$B$13*S13</x:f>
        <x:v>2.457352935644723</x:v>
      </x:c>
      <x:c r="U13" s="119" t="n">
        <x:f>(D13-T13)*'Assumptions'!$B$5</x:f>
        <x:v>126470.64355277404</x:v>
      </x:c>
      <x:c r="V13" s="122" t="n">
        <x:f>ABS(M13-P13)</x:f>
        <x:v>7.105427357601002e-15</x:v>
      </x:c>
      <x:c r="W13" s="458"/>
      <x:c r="X13" s="462" t="str">
        <x:v>Unhedged variance</x:v>
      </x:c>
      <x:c r="Y13" s="464" t="n">
        <x:f>VAR.S(D5:D39)</x:f>
        <x:v>0.2992573747899159</x:v>
      </x:c>
    </x:row>
    <x:row r="14">
      <x:c r="A14" s="101" t="n">
        <x:f>'Audit Inputs'!B14</x:f>
        <x:v>45443</x:v>
      </x:c>
      <x:c r="B14" s="104" t="n">
        <x:f>'Audit Inputs'!E14</x:f>
        <x:v>88.23</x:v>
      </x:c>
      <x:c r="C14" s="104" t="n">
        <x:f>'Audit Inputs'!F14</x:f>
        <x:v>79.41</x:v>
      </x:c>
      <x:c r="D14" s="104" t="n">
        <x:f>'Audit Inputs'!G14</x:f>
        <x:v>2.291</x:v>
      </x:c>
      <x:c r="E14" s="107" t="n">
        <x:f>'Audit Inputs'!H14</x:f>
        <x:v>27.87</x:v>
      </x:c>
      <x:c r="F14" s="107" t="n">
        <x:f>'Audit Inputs'!I14</x:f>
        <x:v>5.48</x:v>
      </x:c>
      <x:c r="G14" s="110" t="n">
        <x:f>('Audit Inputs'!D14-'Audit Inputs'!C14)/365</x:f>
        <x:v>0.08493150684931507</x:v>
      </x:c>
      <x:c r="H14" s="80" t="n">
        <x:f>B14*EXP((F14/100)*G14)</x:f>
        <x:v>88.64160127925562</x:v>
      </x:c>
      <x:c r="I14" s="80" t="n">
        <x:f>H14*(1+'Assumptions'!$B$9)</x:f>
        <x:v>93.07368134321841</x:v>
      </x:c>
      <x:c r="J14" s="113" t="n">
        <x:f>'Audit Inputs'!J14</x:f>
        <x:v>84.62265675359447</x:v>
      </x:c>
      <x:c r="K14" s="116" t="n">
        <x:f>(LN(H14/I14)+0.5*(E14/100)^2*G14)/((E14/100)*SQRT(G14))</x:f>
        <x:v>-0.5600937294628793</x:v>
      </x:c>
      <x:c r="L14" s="116" t="n">
        <x:f>K14-(E14/100)*SQRT(G14)</x:f>
        <x:v>-0.6413153000845224</x:v>
      </x:c>
      <x:c r="M14" s="83" t="n">
        <x:f>EXP(-(F14/100)*G14)*(H14*NORM.S.DIST(K14,TRUE)-I14*NORM.S.DIST(L14,TRUE))</x:f>
        <x:v>1.2366212764813935</x:v>
      </x:c>
      <x:c r="N14" s="83" t="n">
        <x:f>(LN(H14/J14)+0.5*(E14/100)^2*G14)/((E14/100)*SQRT(G14))</x:f>
        <x:v>0.6118783238558386</x:v>
      </x:c>
      <x:c r="O14" s="83" t="n">
        <x:f>N14-(E14/100)*SQRT(G14)</x:f>
        <x:v>0.5306567532341955</x:v>
      </x:c>
      <x:c r="P14" s="83" t="n">
        <x:f>EXP(-(F14/100)*G14)*(J14*NORM.S.DIST(-O14,TRUE)-H14*NORM.S.DIST(-N14,TRUE))</x:f>
        <x:v>1.2366212764813724</x:v>
      </x:c>
      <x:c r="Q14" s="83" t="n">
        <x:f>D14-'Assumptions'!$B$8*(C14-H14)/'Assumptions'!$B$16+'Assumptions'!$B$8*'Assumptions'!$B$14</x:f>
        <x:v>2.48311404811908</x:v>
      </x:c>
      <x:c r="R14" s="83" t="n">
        <x:f>D14-'Assumptions'!$B$8*MAX(C14-I14,0)/'Assumptions'!$B$16+'Assumptions'!$B$8*M14/'Assumptions'!$B$16+'Assumptions'!$B$8*'Assumptions'!$B$15</x:f>
        <x:v>2.3183582928376008</x:v>
      </x:c>
      <x:c r="S14" s="83" t="n">
        <x:f>D14-'Assumptions'!$B$8*(MAX(C14-I14,0)-MAX(J14-C14,0))/'Assumptions'!$B$16+'Assumptions'!$B$8*'Assumptions'!$B$15</x:f>
        <x:v>2.400726754449375</x:v>
      </x:c>
      <x:c r="T14" s="83" t="n">
        <x:f>'Assumptions'!$B$10*D14+'Assumptions'!$B$11*Q14+'Assumptions'!$B$12*R14+'Assumptions'!$B$13*S14</x:f>
        <x:v>2.4007636455824444</x:v>
      </x:c>
      <x:c r="U14" s="119" t="n">
        <x:f>(D14-T14)*'Assumptions'!$B$5</x:f>
        <x:v>-1097636.4558244445</x:v>
      </x:c>
      <x:c r="V14" s="122" t="n">
        <x:f>ABS(M14-P14)</x:f>
        <x:v>2.1094237467877974e-14</x:v>
      </x:c>
      <x:c r="W14" s="458"/>
      <x:c r="X14" s="462" t="str">
        <x:v>Hybrid variance</x:v>
      </x:c>
      <x:c r="Y14" s="464" t="n">
        <x:f>VAR.S(T5:T39)</x:f>
        <x:v>0.27670615779089325</x:v>
      </x:c>
    </x:row>
    <x:row r="15">
      <x:c r="A15" s="101" t="n">
        <x:f>'Audit Inputs'!B15</x:f>
        <x:v>45473</x:v>
      </x:c>
      <x:c r="B15" s="104" t="n">
        <x:f>'Audit Inputs'!E15</x:f>
        <x:v>79.41</x:v>
      </x:c>
      <x:c r="C15" s="104" t="n">
        <x:f>'Audit Inputs'!F15</x:f>
        <x:v>87.26</x:v>
      </x:c>
      <x:c r="D15" s="104" t="n">
        <x:f>'Audit Inputs'!G15</x:f>
        <x:v>2.467</x:v>
      </x:c>
      <x:c r="E15" s="107" t="n">
        <x:f>'Audit Inputs'!H15</x:f>
        <x:v>30.34</x:v>
      </x:c>
      <x:c r="F15" s="107" t="n">
        <x:f>'Audit Inputs'!I15</x:f>
        <x:v>5.48</x:v>
      </x:c>
      <x:c r="G15" s="110" t="n">
        <x:f>('Audit Inputs'!D15-'Audit Inputs'!C15)/365</x:f>
        <x:v>0.07671232876712329</x:v>
      </x:c>
      <x:c r="H15" s="80" t="n">
        <x:f>B15*EXP((F15/100)*G15)</x:f>
        <x:v>79.74452924662577</x:v>
      </x:c>
      <x:c r="I15" s="80" t="n">
        <x:f>H15*(1+'Assumptions'!$B$9)</x:f>
        <x:v>83.73175570895707</x:v>
      </x:c>
      <x:c r="J15" s="113" t="n">
        <x:f>'Audit Inputs'!J15</x:f>
        <x:v>76.1366449728695</x:v>
      </x:c>
      <x:c r="K15" s="116" t="n">
        <x:f>(LN(H15/I15)+0.5*(E15/100)^2*G15)/((E15/100)*SQRT(G15))</x:f>
        <x:v>-0.5385931412224132</x:v>
      </x:c>
      <x:c r="L15" s="116" t="n">
        <x:f>K15-(E15/100)*SQRT(G15)</x:f>
        <x:v>-0.6226258106685671</x:v>
      </x:c>
      <x:c r="M15" s="83" t="n">
        <x:f>EXP(-(F15/100)*G15)*(H15*NORM.S.DIST(K15,TRUE)-I15*NORM.S.DIST(L15,TRUE))</x:f>
        <x:v>1.1895877299488815</x:v>
      </x:c>
      <x:c r="N15" s="83" t="n">
        <x:f>(LN(H15/J15)+0.5*(E15/100)^2*G15)/((E15/100)*SQRT(G15))</x:f>
        <x:v>0.5929741320729953</x:v>
      </x:c>
      <x:c r="O15" s="83" t="n">
        <x:f>N15-(E15/100)*SQRT(G15)</x:f>
        <x:v>0.5089414626268414</x:v>
      </x:c>
      <x:c r="P15" s="83" t="n">
        <x:f>EXP(-(F15/100)*G15)*(J15*NORM.S.DIST(-O15,TRUE)-H15*NORM.S.DIST(-N15,TRUE))</x:f>
        <x:v>1.1895877299488886</x:v>
      </x:c>
      <x:c r="Q15" s="83" t="n">
        <x:f>D15-'Assumptions'!$B$8*(C15-H15)/'Assumptions'!$B$16+'Assumptions'!$B$8*'Assumptions'!$B$14</x:f>
        <x:v>2.3121778681554965</x:v>
      </x:c>
      <x:c r="R15" s="83" t="n">
        <x:f>D15-'Assumptions'!$B$8*MAX(C15-I15,0)/'Assumptions'!$B$16+'Assumptions'!$B$8*M15/'Assumptions'!$B$16+'Assumptions'!$B$8*'Assumptions'!$B$15</x:f>
        <x:v>2.4202920182756884</x:v>
      </x:c>
      <x:c r="S15" s="83" t="n">
        <x:f>D15-'Assumptions'!$B$8*(MAX(C15-I15,0)-MAX(J15-C15,0))/'Assumptions'!$B$16+'Assumptions'!$B$8*'Assumptions'!$B$15</x:f>
        <x:v>2.3956482463998707</x:v>
      </x:c>
      <x:c r="T15" s="83" t="n">
        <x:f>'Assumptions'!$B$10*D15+'Assumptions'!$B$11*Q15+'Assumptions'!$B$12*R15+'Assumptions'!$B$13*S15</x:f>
        <x:v>2.3836656211821596</x:v>
      </x:c>
      <x:c r="U15" s="119" t="n">
        <x:f>(D15-T15)*'Assumptions'!$B$5</x:f>
        <x:v>833343.7881784044</x:v>
      </x:c>
      <x:c r="V15" s="122" t="n">
        <x:f>ABS(M15-P15)</x:f>
        <x:v>7.105427357601002e-15</x:v>
      </x:c>
      <x:c r="W15" s="458"/>
      <x:c r="X15" s="462" t="str">
        <x:v>Hedge efficiency</x:v>
      </x:c>
      <x:c r="Y15" s="465" t="n">
        <x:f>1-Y14/Y13</x:f>
        <x:v>0.07535726401013176</x:v>
      </x:c>
    </x:row>
    <x:row r="16">
      <x:c r="A16" s="101" t="n">
        <x:f>'Audit Inputs'!B16</x:f>
        <x:v>45504</x:v>
      </x:c>
      <x:c r="B16" s="104" t="n">
        <x:f>'Audit Inputs'!E16</x:f>
        <x:v>87.26</x:v>
      </x:c>
      <x:c r="C16" s="104" t="n">
        <x:f>'Audit Inputs'!F16</x:f>
        <x:v>81.39</x:v>
      </x:c>
      <x:c r="D16" s="104" t="n">
        <x:f>'Audit Inputs'!G16</x:f>
        <x:v>2.28</x:v>
      </x:c>
      <x:c r="E16" s="107" t="n">
        <x:f>'Audit Inputs'!H16</x:f>
        <x:v>26.54</x:v>
      </x:c>
      <x:c r="F16" s="107" t="n">
        <x:f>'Audit Inputs'!I16</x:f>
        <x:v>5.47</x:v>
      </x:c>
      <x:c r="G16" s="110" t="n">
        <x:f>('Audit Inputs'!D16-'Audit Inputs'!C16)/365</x:f>
        <x:v>0.09041095890410959</x:v>
      </x:c>
      <x:c r="H16" s="80" t="n">
        <x:f>B16*EXP((F16/100)*G16)</x:f>
        <x:v>87.69261139063249</x:v>
      </x:c>
      <x:c r="I16" s="80" t="n">
        <x:f>H16*(1+'Assumptions'!$B$9)</x:f>
        <x:v>92.07724196016412</x:v>
      </x:c>
      <x:c r="J16" s="113" t="n">
        <x:f>'Audit Inputs'!J16</x:f>
        <x:v>83.71243213802711</x:v>
      </x:c>
      <x:c r="K16" s="116" t="n">
        <x:f>(LN(H16/I16)+0.5*(E16/100)^2*G16)/((E16/100)*SQRT(G16))</x:f>
        <x:v>-0.5714927214967302</x:v>
      </x:c>
      <x:c r="L16" s="116" t="n">
        <x:f>K16-(E16/100)*SQRT(G16)</x:f>
        <x:v>-0.651294295278719</x:v>
      </x:c>
      <x:c r="M16" s="83" t="n">
        <x:f>EXP(-(F16/100)*G16)*(H16*NORM.S.DIST(K16,TRUE)-I16*NORM.S.DIST(L16,TRUE))</x:f>
        <x:v>1.180904240665537</x:v>
      </x:c>
      <x:c r="N16" s="83" t="n">
        <x:f>(LN(H16/J16)+0.5*(E16/100)^2*G16)/((E16/100)*SQRT(G16))</x:f>
        <x:v>0.6219713697816253</x:v>
      </x:c>
      <x:c r="O16" s="83" t="n">
        <x:f>N16-(E16/100)*SQRT(G16)</x:f>
        <x:v>0.5421697959996366</x:v>
      </x:c>
      <x:c r="P16" s="83" t="n">
        <x:f>EXP(-(F16/100)*G16)*(J16*NORM.S.DIST(-O16,TRUE)-H16*NORM.S.DIST(-N16,TRUE))</x:f>
        <x:v>1.180904240665537</x:v>
      </x:c>
      <x:c r="Q16" s="83" t="n">
        <x:f>D16-'Assumptions'!$B$8*(C16-H16)/'Assumptions'!$B$16+'Assumptions'!$B$8*'Assumptions'!$B$14</x:f>
        <x:v>2.4114364227329244</x:v>
      </x:c>
      <x:c r="R16" s="83" t="n">
        <x:f>D16-'Assumptions'!$B$8*MAX(C16-I16,0)/'Assumptions'!$B$16+'Assumptions'!$B$8*M16/'Assumptions'!$B$16+'Assumptions'!$B$8*'Assumptions'!$B$15</x:f>
        <x:v>2.306204045962255</x:v>
      </x:c>
      <x:c r="S16" s="83" t="n">
        <x:f>D16-'Assumptions'!$B$8*(MAX(C16-I16,0)-MAX(J16-C16,0))/'Assumptions'!$B$16+'Assumptions'!$B$8*'Assumptions'!$B$15</x:f>
        <x:v>2.3298521993386094</x:v>
      </x:c>
      <x:c r="T16" s="83" t="n">
        <x:f>'Assumptions'!$B$10*D16+'Assumptions'!$B$11*Q16+'Assumptions'!$B$12*R16+'Assumptions'!$B$13*S16</x:f>
        <x:v>2.3475302288947524</x:v>
      </x:c>
      <x:c r="U16" s="119" t="n">
        <x:f>(D16-T16)*'Assumptions'!$B$5</x:f>
        <x:v>-675302.2889475258</x:v>
      </x:c>
      <x:c r="V16" s="122" t="n">
        <x:f>ABS(M16-P16)</x:f>
        <x:v>0</x:v>
      </x:c>
      <x:c r="W16" s="458"/>
      <x:c r="X16" s="462" t="str">
        <x:v>Unhedged CVaR95</x:v>
      </x:c>
      <x:c r="Y16" s="466" t="n">
        <x:f>AVERAGEIF(D5:D39,"&gt;="&amp;PERCENTILE.INC(D5:D39,0.95),D5:D39)</x:f>
        <x:v>4.1259999999999994</x:v>
      </x:c>
    </x:row>
    <x:row r="17">
      <x:c r="A17" s="101" t="n">
        <x:f>'Audit Inputs'!B17</x:f>
        <x:v>45535</x:v>
      </x:c>
      <x:c r="B17" s="104" t="n">
        <x:f>'Audit Inputs'!E17</x:f>
        <x:v>81.39</x:v>
      </x:c>
      <x:c r="C17" s="104" t="n">
        <x:f>'Audit Inputs'!F17</x:f>
        <x:v>80.2</x:v>
      </x:c>
      <x:c r="D17" s="104" t="n">
        <x:f>'Audit Inputs'!G17</x:f>
        <x:v>2.127</x:v>
      </x:c>
      <x:c r="E17" s="107" t="n">
        <x:f>'Audit Inputs'!H17</x:f>
        <x:v>33.69</x:v>
      </x:c>
      <x:c r="F17" s="107" t="n">
        <x:f>'Audit Inputs'!I17</x:f>
        <x:v>5.49</x:v>
      </x:c>
      <x:c r="G17" s="110" t="n">
        <x:f>('Audit Inputs'!D17-'Audit Inputs'!C17)/365</x:f>
        <x:v>0.0821917808219178</x:v>
      </x:c>
      <x:c r="H17" s="80" t="n">
        <x:f>B17*EXP((F17/100)*G17)</x:f>
        <x:v>81.75808828146985</x:v>
      </x:c>
      <x:c r="I17" s="80" t="n">
        <x:f>H17*(1+'Assumptions'!$B$9)</x:f>
        <x:v>85.84599269554334</x:v>
      </x:c>
      <x:c r="J17" s="113" t="n">
        <x:f>'Audit Inputs'!J17</x:f>
        <x:v>78.09423967984964</x:v>
      </x:c>
      <x:c r="K17" s="116" t="n">
        <x:f>(LN(H17/I17)+0.5*(E17/100)^2*G17)/((E17/100)*SQRT(G17))</x:f>
        <x:v>-0.4568530661862448</x:v>
      </x:c>
      <x:c r="L17" s="116" t="n">
        <x:f>K17-(E17/100)*SQRT(G17)</x:f>
        <x:v>-0.5534392942524385</x:v>
      </x:c>
      <x:c r="M17" s="83" t="n">
        <x:f>EXP(-(F17/100)*G17)*(H17*NORM.S.DIST(K17,TRUE)-I17*NORM.S.DIST(L17,TRUE))</x:f>
        <x:v>1.5796126540639304</x:v>
      </x:c>
      <x:c r="N17" s="83" t="n">
        <x:f>(LN(H17/J17)+0.5*(E17/100)^2*G17)/((E17/100)*SQRT(G17))</x:f>
        <x:v>0.5229823797620138</x:v>
      </x:c>
      <x:c r="O17" s="83" t="n">
        <x:f>N17-(E17/100)*SQRT(G17)</x:f>
        <x:v>0.42639615169582</x:v>
      </x:c>
      <x:c r="P17" s="83" t="n">
        <x:f>EXP(-(F17/100)*G17)*(J17*NORM.S.DIST(-O17,TRUE)-H17*NORM.S.DIST(-N17,TRUE))</x:f>
        <x:v>1.5796126540639446</x:v>
      </x:c>
      <x:c r="Q17" s="83" t="n">
        <x:f>D17-'Assumptions'!$B$8*(C17-H17)/'Assumptions'!$B$16+'Assumptions'!$B$8*'Assumptions'!$B$14</x:f>
        <x:v>2.160147795321835</x:v>
      </x:c>
      <x:c r="R17" s="83" t="n">
        <x:f>D17-'Assumptions'!$B$8*MAX(C17-I17,0)/'Assumptions'!$B$16+'Assumptions'!$B$8*M17/'Assumptions'!$B$16+'Assumptions'!$B$8*'Assumptions'!$B$15</x:f>
        <x:v>2.161463780774064</x:v>
      </x:c>
      <x:c r="S17" s="83" t="n">
        <x:f>D17-'Assumptions'!$B$8*(MAX(C17-I17,0)-MAX(J17-C17,0))/'Assumptions'!$B$16+'Assumptions'!$B$8*'Assumptions'!$B$15</x:f>
        <x:v>2.1287401632392906</x:v>
      </x:c>
      <x:c r="T17" s="83" t="n">
        <x:f>'Assumptions'!$B$10*D17+'Assumptions'!$B$11*Q17+'Assumptions'!$B$12*R17+'Assumptions'!$B$13*S17</x:f>
        <x:v>2.140781167100521</x:v>
      </x:c>
      <x:c r="U17" s="119" t="n">
        <x:f>(D17-T17)*'Assumptions'!$B$5</x:f>
        <x:v>-137811.6710052124</x:v>
      </x:c>
      <x:c r="V17" s="122" t="n">
        <x:f>ABS(M17-P17)</x:f>
        <x:v>1.4210854715202004e-14</x:v>
      </x:c>
      <x:c r="W17" s="458"/>
      <x:c r="X17" s="462" t="str">
        <x:v>Hybrid CVaR95</x:v>
      </x:c>
      <x:c r="Y17" s="466" t="n">
        <x:f>AVERAGEIF(T5:T39,"&gt;="&amp;PERCENTILE.INC(T5:T39,0.95),T5:T39)</x:f>
        <x:v>3.9888151747857767</x:v>
      </x:c>
    </x:row>
    <x:row r="18">
      <x:c r="A18" s="101" t="n">
        <x:f>'Audit Inputs'!B18</x:f>
        <x:v>45565</x:v>
      </x:c>
      <x:c r="B18" s="104" t="n">
        <x:f>'Audit Inputs'!E18</x:f>
        <x:v>80.2</x:v>
      </x:c>
      <x:c r="C18" s="104" t="n">
        <x:f>'Audit Inputs'!F18</x:f>
        <x:v>72.35</x:v>
      </x:c>
      <x:c r="D18" s="104" t="n">
        <x:f>'Audit Inputs'!G18</x:f>
        <x:v>1.968</x:v>
      </x:c>
      <x:c r="E18" s="107" t="n">
        <x:f>'Audit Inputs'!H18</x:f>
        <x:v>33.36</x:v>
      </x:c>
      <x:c r="F18" s="107" t="n">
        <x:f>'Audit Inputs'!I18</x:f>
        <x:v>5.41</x:v>
      </x:c>
      <x:c r="G18" s="110" t="n">
        <x:f>('Audit Inputs'!D18-'Audit Inputs'!C18)/365</x:f>
        <x:v>0.08493150684931507</x:v>
      </x:c>
      <x:c r="H18" s="80" t="n">
        <x:f>B18*EXP((F18/100)*G18)</x:f>
        <x:v>80.56935041536582</x:v>
      </x:c>
      <x:c r="I18" s="80" t="n">
        <x:f>H18*(1+'Assumptions'!$B$9)</x:f>
        <x:v>84.5978179361341</x:v>
      </x:c>
      <x:c r="J18" s="113" t="n">
        <x:f>'Audit Inputs'!J18</x:f>
        <x:v>76.96052283357221</x:v>
      </x:c>
      <x:c r="K18" s="116" t="n">
        <x:f>(LN(H18/I18)+0.5*(E18/100)^2*G18)/((E18/100)*SQRT(G18))</x:f>
        <x:v>-0.4532370250205448</x:v>
      </x:c>
      <x:c r="L18" s="116" t="n">
        <x:f>K18-(E18/100)*SQRT(G18)</x:f>
        <x:v>-0.5504581084772372</x:v>
      </x:c>
      <x:c r="M18" s="83" t="n">
        <x:f>EXP(-(F18/100)*G18)*(H18*NORM.S.DIST(K18,TRUE)-I18*NORM.S.DIST(L18,TRUE))</x:f>
        <x:v>1.574831737060731</x:v>
      </x:c>
      <x:c r="N18" s="83" t="n">
        <x:f>(LN(H18/J18)+0.5*(E18/100)^2*G18)/((E18/100)*SQRT(G18))</x:f>
        <x:v>0.5199662174088469</x:v>
      </x:c>
      <x:c r="O18" s="83" t="n">
        <x:f>N18-(E18/100)*SQRT(G18)</x:f>
        <x:v>0.42274513395215446</x:v>
      </x:c>
      <x:c r="P18" s="83" t="n">
        <x:f>EXP(-(F18/100)*G18)*(J18*NORM.S.DIST(-O18,TRUE)-H18*NORM.S.DIST(-N18,TRUE))</x:f>
        <x:v>1.5748317370607274</x:v>
      </x:c>
      <x:c r="Q18" s="83" t="n">
        <x:f>D18-'Assumptions'!$B$8*(C18-H18)/'Assumptions'!$B$16+'Assumptions'!$B$8*'Assumptions'!$B$14</x:f>
        <x:v>2.139144027377632</x:v>
      </x:c>
      <x:c r="R18" s="83" t="n">
        <x:f>D18-'Assumptions'!$B$8*MAX(C18-I18,0)/'Assumptions'!$B$16+'Assumptions'!$B$8*M18/'Assumptions'!$B$16+'Assumptions'!$B$8*'Assumptions'!$B$15</x:f>
        <x:v>2.0023647382024086</x:v>
      </x:c>
      <x:c r="S18" s="83" t="n">
        <x:f>D18-'Assumptions'!$B$8*(MAX(C18-I18,0)-MAX(J18-C18,0))/'Assumptions'!$B$16+'Assumptions'!$B$8*'Assumptions'!$B$15</x:f>
        <x:v>2.0652528102499357</x:v>
      </x:c>
      <x:c r="T18" s="83" t="n">
        <x:f>'Assumptions'!$B$10*D18+'Assumptions'!$B$11*Q18+'Assumptions'!$B$12*R18+'Assumptions'!$B$13*S18</x:f>
        <x:v>2.0656334540260337</x:v>
      </x:c>
      <x:c r="U18" s="119" t="n">
        <x:f>(D18-T18)*'Assumptions'!$B$5</x:f>
        <x:v>-976334.5402603374</x:v>
      </x:c>
      <x:c r="V18" s="122" t="n">
        <x:f>ABS(M18-P18)</x:f>
        <x:v>3.552713678800501e-15</x:v>
      </x:c>
      <x:c r="W18" s="458"/>
      <x:c r="X18" s="462" t="str">
        <x:v>CVaR reduction</x:v>
      </x:c>
      <x:c r="Y18" s="466" t="n">
        <x:f>Y16-Y17</x:f>
        <x:v>0.1371848252142227</x:v>
      </x:c>
    </x:row>
    <x:row r="19">
      <x:c r="A19" s="101" t="n">
        <x:f>'Audit Inputs'!B19</x:f>
        <x:v>45596</x:v>
      </x:c>
      <x:c r="B19" s="104" t="n">
        <x:f>'Audit Inputs'!E19</x:f>
        <x:v>72.35</x:v>
      </x:c>
      <x:c r="C19" s="104" t="n">
        <x:f>'Audit Inputs'!F19</x:f>
        <x:v>73.25</x:v>
      </x:c>
      <x:c r="D19" s="104" t="n">
        <x:f>'Audit Inputs'!G19</x:f>
        <x:v>2.076</x:v>
      </x:c>
      <x:c r="E19" s="107" t="n">
        <x:f>'Audit Inputs'!H19</x:f>
        <x:v>39.86</x:v>
      </x:c>
      <x:c r="F19" s="107" t="n">
        <x:f>'Audit Inputs'!I19</x:f>
        <x:v>4.93</x:v>
      </x:c>
      <x:c r="G19" s="110" t="n">
        <x:f>('Audit Inputs'!D19-'Audit Inputs'!C19)/365</x:f>
        <x:v>0.08493150684931507</x:v>
      </x:c>
      <x:c r="H19" s="80" t="n">
        <x:f>B19*EXP((F19/100)*G19)</x:f>
        <x:v>72.65357347612796</x:v>
      </x:c>
      <x:c r="I19" s="80" t="n">
        <x:f>H19*(1+'Assumptions'!$B$9)</x:f>
        <x:v>76.28625214993436</x:v>
      </x:c>
      <x:c r="J19" s="113" t="n">
        <x:f>'Audit Inputs'!J19</x:f>
        <x:v>69.44626034834366</x:v>
      </x:c>
      <x:c r="K19" s="116" t="n">
        <x:f>(LN(H19/I19)+0.5*(E19/100)^2*G19)/((E19/100)*SQRT(G19))</x:f>
        <x:v>-0.36192888866693823</x:v>
      </x:c>
      <x:c r="L19" s="116" t="n">
        <x:f>K19-(E19/100)*SQRT(G19)</x:f>
        <x:v>-0.47809292903215883</x:v>
      </x:c>
      <x:c r="M19" s="83" t="n">
        <x:f>EXP(-(F19/100)*G19)*(H19*NORM.S.DIST(K19,TRUE)-I19*NORM.S.DIST(L19,TRUE))</x:f>
        <x:v>1.9242171087984248</x:v>
      </x:c>
      <x:c r="N19" s="83" t="n">
        <x:f>(LN(H19/J19)+0.5*(E19/100)^2*G19)/((E19/100)*SQRT(G19))</x:f>
        <x:v>0.4467509675501681</x:v>
      </x:c>
      <x:c r="O19" s="83" t="n">
        <x:f>N19-(E19/100)*SQRT(G19)</x:f>
        <x:v>0.3305869271849475</x:v>
      </x:c>
      <x:c r="P19" s="83" t="n">
        <x:f>EXP(-(F19/100)*G19)*(J19*NORM.S.DIST(-O19,TRUE)-H19*NORM.S.DIST(-N19,TRUE))</x:f>
        <x:v>1.9242171087984177</x:v>
      </x:c>
      <x:c r="Q19" s="83" t="n">
        <x:f>D19-'Assumptions'!$B$8*(C19-H19)/'Assumptions'!$B$16+'Assumptions'!$B$8*'Assumptions'!$B$14</x:f>
        <x:v>2.0645143731460713</x:v>
      </x:c>
      <x:c r="R19" s="83" t="n">
        <x:f>D19-'Assumptions'!$B$8*MAX(C19-I19,0)/'Assumptions'!$B$16+'Assumptions'!$B$8*M19/'Assumptions'!$B$16+'Assumptions'!$B$8*'Assumptions'!$B$15</x:f>
        <x:v>2.1176026855862653</x:v>
      </x:c>
      <x:c r="S19" s="83" t="n">
        <x:f>D19-'Assumptions'!$B$8*(MAX(C19-I19,0)-MAX(J19-C19,0))/'Assumptions'!$B$16+'Assumptions'!$B$8*'Assumptions'!$B$15</x:f>
        <x:v>2.077740163239291</x:v>
      </x:c>
      <x:c r="T19" s="83" t="n">
        <x:f>'Assumptions'!$B$10*D19+'Assumptions'!$B$11*Q19+'Assumptions'!$B$12*R19+'Assumptions'!$B$13*S19</x:f>
        <x:v>2.071927798230216</x:v>
      </x:c>
      <x:c r="U19" s="119" t="n">
        <x:f>(D19-T19)*'Assumptions'!$B$5</x:f>
        <x:v>40722.01769784289</x:v>
      </x:c>
      <x:c r="V19" s="122" t="n">
        <x:f>ABS(M19-P19)</x:f>
        <x:v>7.105427357601002e-15</x:v>
      </x:c>
      <x:c r="W19" s="458"/>
      <x:c r="X19" s="462" t="str">
        <x:v>Peak protection</x:v>
      </x:c>
      <x:c r="Y19" s="467" t="n">
        <x:f>MAX(U5:U39)</x:f>
        <x:v>7764385.010751216</x:v>
      </x:c>
    </x:row>
    <x:row r="20">
      <x:c r="A20" s="101" t="n">
        <x:f>'Audit Inputs'!B20</x:f>
        <x:v>45626</x:v>
      </x:c>
      <x:c r="B20" s="104" t="n">
        <x:f>'Audit Inputs'!E20</x:f>
        <x:v>73.25</x:v>
      </x:c>
      <x:c r="C20" s="104" t="n">
        <x:f>'Audit Inputs'!F20</x:f>
        <x:v>74.16</x:v>
      </x:c>
      <x:c r="D20" s="104" t="n">
        <x:f>'Audit Inputs'!G20</x:f>
        <x:v>2.04</x:v>
      </x:c>
      <x:c r="E20" s="107" t="n">
        <x:f>'Audit Inputs'!H20</x:f>
        <x:v>48.79</x:v>
      </x:c>
      <x:c r="F20" s="107" t="n">
        <x:f>'Audit Inputs'!I20</x:f>
        <x:v>4.76</x:v>
      </x:c>
      <x:c r="G20" s="110" t="n">
        <x:f>('Audit Inputs'!D20-'Audit Inputs'!C20)/365</x:f>
        <x:v>0.07945205479452055</x:v>
      </x:c>
      <x:c r="H20" s="80" t="n">
        <x:f>B20*EXP((F20/100)*G20)</x:f>
        <x:v>73.52754998425199</x:v>
      </x:c>
      <x:c r="I20" s="80" t="n">
        <x:f>H20*(1+'Assumptions'!$B$9)</x:f>
        <x:v>77.2039274834646</x:v>
      </x:c>
      <x:c r="J20" s="113" t="n">
        <x:f>'Audit Inputs'!J20</x:f>
        <x:v>70.33480101363068</x:v>
      </x:c>
      <x:c r="K20" s="116" t="n">
        <x:f>(LN(H20/I20)+0.5*(E20/100)^2*G20)/((E20/100)*SQRT(G20))</x:f>
        <x:v>-0.2860088650828211</x:v>
      </x:c>
      <x:c r="L20" s="116" t="n">
        <x:f>K20-(E20/100)*SQRT(G20)</x:f>
        <x:v>-0.4235344132946312</x:v>
      </x:c>
      <x:c r="M20" s="83" t="n">
        <x:f>EXP(-(F20/100)*G20)*(H20*NORM.S.DIST(K20,TRUE)-I20*NORM.S.DIST(L20,TRUE))</x:f>
        <x:v>2.5407006370177516</x:v>
      </x:c>
      <x:c r="N20" s="83" t="n">
        <x:f>(LN(H20/J20)+0.5*(E20/100)^2*G20)/((E20/100)*SQRT(G20))</x:f>
        <x:v>0.3915642768085882</x:v>
      </x:c>
      <x:c r="O20" s="83" t="n">
        <x:f>N20-(E20/100)*SQRT(G20)</x:f>
        <x:v>0.25403872859677806</x:v>
      </x:c>
      <x:c r="P20" s="83" t="n">
        <x:f>EXP(-(F20/100)*G20)*(J20*NORM.S.DIST(-O20,TRUE)-H20*NORM.S.DIST(-N20,TRUE))</x:f>
        <x:v>2.5407006370177414</x:v>
      </x:c>
      <x:c r="Q20" s="83" t="n">
        <x:f>D20-'Assumptions'!$B$8*(C20-H20)/'Assumptions'!$B$16+'Assumptions'!$B$8*'Assumptions'!$B$14</x:f>
        <x:v>2.027768102237578</x:v>
      </x:c>
      <x:c r="R20" s="83" t="n">
        <x:f>D20-'Assumptions'!$B$8*MAX(C20-I20,0)/'Assumptions'!$B$16+'Assumptions'!$B$8*M20/'Assumptions'!$B$16+'Assumptions'!$B$8*'Assumptions'!$B$15</x:f>
        <x:v>2.0943738995557375</x:v>
      </x:c>
      <x:c r="S20" s="83" t="n">
        <x:f>D20-'Assumptions'!$B$8*(MAX(C20-I20,0)-MAX(J20-C20,0))/'Assumptions'!$B$16+'Assumptions'!$B$8*'Assumptions'!$B$15</x:f>
        <x:v>2.041740163239291</x:v>
      </x:c>
      <x:c r="T20" s="83" t="n">
        <x:f>'Assumptions'!$B$10*D20+'Assumptions'!$B$11*Q20+'Assumptions'!$B$12*R20+'Assumptions'!$B$13*S20</x:f>
        <x:v>2.0356292898668187</x:v>
      </x:c>
      <x:c r="U20" s="119" t="n">
        <x:f>(D20-T20)*'Assumptions'!$B$5</x:f>
        <x:v>43707.101331813545</x:v>
      </x:c>
      <x:c r="V20" s="122" t="n">
        <x:f>ABS(M20-P20)</x:f>
        <x:v>1.021405182655144e-14</x:v>
      </x:c>
      <x:c r="W20" s="458"/>
      <x:c r="X20" s="462" t="str">
        <x:v>Peak month</x:v>
      </x:c>
      <x:c r="Y20" s="468" t="n">
        <x:f>INDEX(A5:A39,MATCH(Y19,U5:U39,0))</x:f>
        <x:v>46112</x:v>
      </x:c>
    </x:row>
    <x:row r="21">
      <x:c r="A21" s="101" t="n">
        <x:f>'Audit Inputs'!B21</x:f>
        <x:v>45657</x:v>
      </x:c>
      <x:c r="B21" s="104" t="n">
        <x:f>'Audit Inputs'!E21</x:f>
        <x:v>74.16</x:v>
      </x:c>
      <x:c r="C21" s="104" t="n">
        <x:f>'Audit Inputs'!F21</x:f>
        <x:v>74.58</x:v>
      </x:c>
      <x:c r="D21" s="104" t="n">
        <x:f>'Audit Inputs'!G21</x:f>
        <x:v>2.228</x:v>
      </x:c>
      <x:c r="E21" s="107" t="n">
        <x:f>'Audit Inputs'!H21</x:f>
        <x:v>34.95</x:v>
      </x:c>
      <x:c r="F21" s="107" t="n">
        <x:f>'Audit Inputs'!I21</x:f>
        <x:v>4.76</x:v>
      </x:c>
      <x:c r="G21" s="110" t="n">
        <x:f>('Audit Inputs'!D21-'Audit Inputs'!C21)/365</x:f>
        <x:v>0.08767123287671233</x:v>
      </x:c>
      <x:c r="H21" s="80" t="n">
        <x:f>B21*EXP((F21/100)*G21)</x:f>
        <x:v>74.47012750913085</x:v>
      </x:c>
      <x:c r="I21" s="80" t="n">
        <x:f>H21*(1+'Assumptions'!$B$9)</x:f>
        <x:v>78.1936338845874</x:v>
      </x:c>
      <x:c r="J21" s="113" t="n">
        <x:f>'Audit Inputs'!J21</x:f>
        <x:v>71.1504380704288</x:v>
      </x:c>
      <x:c r="K21" s="116" t="n">
        <x:f>(LN(H21/I21)+0.5*(E21/100)^2*G21)/((E21/100)*SQRT(G21))</x:f>
        <x:v>-0.41973038977172733</x:v>
      </x:c>
      <x:c r="L21" s="116" t="n">
        <x:f>K21-(E21/100)*SQRT(G21)</x:f>
        <x:v>-0.5232149925573526</x:v>
      </x:c>
      <x:c r="M21" s="83" t="n">
        <x:f>EXP(-(F21/100)*G21)*(H21*NORM.S.DIST(K21,TRUE)-I21*NORM.S.DIST(L21,TRUE))</x:f>
        <x:v>1.6247173093912521</x:v>
      </x:c>
      <x:c r="N21" s="83" t="n">
        <x:f>(LN(H21/J21)+0.5*(E21/100)^2*G21)/((E21/100)*SQRT(G21))</x:f>
        <x:v>0.4924029330212089</x:v>
      </x:c>
      <x:c r="O21" s="83" t="n">
        <x:f>N21-(E21/100)*SQRT(G21)</x:f>
        <x:v>0.3889183302355837</x:v>
      </x:c>
      <x:c r="P21" s="83" t="n">
        <x:f>EXP(-(F21/100)*G21)*(J21*NORM.S.DIST(-O21,TRUE)-H21*NORM.S.DIST(-N21,TRUE))</x:f>
        <x:v>1.6247173093912415</x:v>
      </x:c>
      <x:c r="Q21" s="83" t="n">
        <x:f>D21-'Assumptions'!$B$8*(C21-H21)/'Assumptions'!$B$16+'Assumptions'!$B$8*'Assumptions'!$B$14</x:f>
        <x:v>2.2265939379336954</x:v>
      </x:c>
      <x:c r="R21" s="83" t="n">
        <x:f>D21-'Assumptions'!$B$8*MAX(C21-I21,0)/'Assumptions'!$B$16+'Assumptions'!$B$8*M21/'Assumptions'!$B$16+'Assumptions'!$B$8*'Assumptions'!$B$15</x:f>
        <x:v>2.2633981791445583</x:v>
      </x:c>
      <x:c r="S21" s="83" t="n">
        <x:f>D21-'Assumptions'!$B$8*(MAX(C21-I21,0)-MAX(J21-C21,0))/'Assumptions'!$B$16+'Assumptions'!$B$8*'Assumptions'!$B$15</x:f>
        <x:v>2.229740163239291</x:v>
      </x:c>
      <x:c r="T21" s="83" t="n">
        <x:f>'Assumptions'!$B$10*D21+'Assumptions'!$B$11*Q21+'Assumptions'!$B$12*R21+'Assumptions'!$B$13*S21</x:f>
        <x:v>2.2279596241452655</x:v>
      </x:c>
      <x:c r="U21" s="119" t="n">
        <x:f>(D21-T21)*'Assumptions'!$B$5</x:f>
        <x:v>403.7585473470884</x:v>
      </x:c>
      <x:c r="V21" s="122" t="n">
        <x:f>ABS(M21-P21)</x:f>
        <x:v>1.0658141036401503e-14</x:v>
      </x:c>
      <x:c r="W21" s="458"/>
      <x:c r="X21" s="462" t="str">
        <x:v>Largest tradeoff</x:v>
      </x:c>
      <x:c r="Y21" s="469" t="n">
        <x:f>MIN(U5:U39)</x:f>
        <x:v>-4292262.939295539</x:v>
      </x:c>
    </x:row>
    <x:row r="22">
      <x:c r="A22" s="101" t="n">
        <x:f>'Audit Inputs'!B22</x:f>
        <x:v>45688</x:v>
      </x:c>
      <x:c r="B22" s="104" t="n">
        <x:f>'Audit Inputs'!E22</x:f>
        <x:v>74.58</x:v>
      </x:c>
      <x:c r="C22" s="104" t="n">
        <x:f>'Audit Inputs'!F22</x:f>
        <x:v>77.11</x:v>
      </x:c>
      <x:c r="D22" s="104" t="n">
        <x:f>'Audit Inputs'!G22</x:f>
        <x:v>2.302</x:v>
      </x:c>
      <x:c r="E22" s="107" t="n">
        <x:f>'Audit Inputs'!H22</x:f>
        <x:v>30.02</x:v>
      </x:c>
      <x:c r="F22" s="107" t="n">
        <x:f>'Audit Inputs'!I22</x:f>
        <x:v>4.4</x:v>
      </x:c>
      <x:c r="G22" s="110" t="n">
        <x:f>('Audit Inputs'!D22-'Audit Inputs'!C22)/365</x:f>
        <x:v>0.08493150684931507</x:v>
      </x:c>
      <x:c r="H22" s="80" t="n">
        <x:f>B22*EXP((F22/100)*G22)</x:f>
        <x:v>74.85922584498446</x:v>
      </x:c>
      <x:c r="I22" s="80" t="n">
        <x:f>H22*(1+'Assumptions'!$B$9)</x:f>
        <x:v>78.60218713723368</x:v>
      </x:c>
      <x:c r="J22" s="113" t="n">
        <x:f>'Audit Inputs'!J22</x:f>
        <x:v>71.48122229020751</x:v>
      </x:c>
      <x:c r="K22" s="116" t="n">
        <x:f>(LN(H22/I22)+0.5*(E22/100)^2*G22)/((E22/100)*SQRT(G22))</x:f>
        <x:v>-0.513939046800878</x:v>
      </x:c>
      <x:c r="L22" s="116" t="n">
        <x:f>K22-(E22/100)*SQRT(G22)</x:f>
        <x:v>-0.6014263647076498</x:v>
      </x:c>
      <x:c r="M22" s="83" t="n">
        <x:f>EXP(-(F22/100)*G22)*(H22*NORM.S.DIST(K22,TRUE)-I22*NORM.S.DIST(L22,TRUE))</x:f>
        <x:v>1.2067328074095678</x:v>
      </x:c>
      <x:c r="N22" s="83" t="n">
        <x:f>(LN(H22/J22)+0.5*(E22/100)^2*G22)/((E22/100)*SQRT(G22))</x:f>
        <x:v>0.5715295399325777</x:v>
      </x:c>
      <x:c r="O22" s="83" t="n">
        <x:f>N22-(E22/100)*SQRT(G22)</x:f>
        <x:v>0.48404222202580593</x:v>
      </x:c>
      <x:c r="P22" s="83" t="n">
        <x:f>EXP(-(F22/100)*G22)*(J22*NORM.S.DIST(-O22,TRUE)-H22*NORM.S.DIST(-N22,TRUE))</x:f>
        <x:v>1.2067328074095607</x:v>
      </x:c>
      <x:c r="Q22" s="83" t="n">
        <x:f>D22-'Assumptions'!$B$8*(C22-H22)/'Assumptions'!$B$16+'Assumptions'!$B$8*'Assumptions'!$B$14</x:f>
        <x:v>2.25624252870888</x:v>
      </x:c>
      <x:c r="R22" s="83" t="n">
        <x:f>D22-'Assumptions'!$B$8*MAX(C22-I22,0)/'Assumptions'!$B$16+'Assumptions'!$B$8*M22/'Assumptions'!$B$16+'Assumptions'!$B$8*'Assumptions'!$B$15</x:f>
        <x:v>2.3287391164666786</x:v>
      </x:c>
      <x:c r="S22" s="83" t="n">
        <x:f>D22-'Assumptions'!$B$8*(MAX(C22-I22,0)-MAX(J22-C22,0))/'Assumptions'!$B$16+'Assumptions'!$B$8*'Assumptions'!$B$15</x:f>
        <x:v>2.303740163239291</x:v>
      </x:c>
      <x:c r="T22" s="83" t="n">
        <x:f>'Assumptions'!$B$10*D22+'Assumptions'!$B$11*Q22+'Assumptions'!$B$12*R22+'Assumptions'!$B$13*S22</x:f>
        <x:v>2.284219060455339</x:v>
      </x:c>
      <x:c r="U22" s="119" t="n">
        <x:f>(D22-T22)*'Assumptions'!$B$5</x:f>
        <x:v>177809.3954466087</x:v>
      </x:c>
      <x:c r="V22" s="122" t="n">
        <x:f>ABS(M22-P22)</x:f>
        <x:v>7.105427357601002e-15</x:v>
      </x:c>
      <x:c r="W22" s="458"/>
      <x:c r="X22" s="462" t="str">
        <x:v>Tradeoff month</x:v>
      </x:c>
      <x:c r="Y22" s="468" t="n">
        <x:f>INDEX(A5:A39,MATCH(Y21,U5:U39,0))</x:f>
        <x:v>46173</x:v>
      </x:c>
    </x:row>
    <x:row r="23">
      <x:c r="A23" s="101" t="n">
        <x:f>'Audit Inputs'!B23</x:f>
        <x:v>45716</x:v>
      </x:c>
      <x:c r="B23" s="104" t="n">
        <x:f>'Audit Inputs'!E23</x:f>
        <x:v>77.11</x:v>
      </x:c>
      <x:c r="C23" s="104" t="n">
        <x:f>'Audit Inputs'!F23</x:f>
        <x:v>74.76</x:v>
      </x:c>
      <x:c r="D23" s="104" t="n">
        <x:f>'Audit Inputs'!G23</x:f>
        <x:v>2.145</x:v>
      </x:c>
      <x:c r="E23" s="107" t="n">
        <x:f>'Audit Inputs'!H23</x:f>
        <x:v>29.96</x:v>
      </x:c>
      <x:c r="F23" s="107" t="n">
        <x:f>'Audit Inputs'!I23</x:f>
        <x:v>4.37</x:v>
      </x:c>
      <x:c r="G23" s="110" t="n">
        <x:f>('Audit Inputs'!D23-'Audit Inputs'!C23)/365</x:f>
        <x:v>0.07671232876712329</x:v>
      </x:c>
      <x:c r="H23" s="80" t="n">
        <x:f>B23*EXP((F23/100)*G23)</x:f>
        <x:v>77.36893184107069</x:v>
      </x:c>
      <x:c r="I23" s="80" t="n">
        <x:f>H23*(1+'Assumptions'!$B$9)</x:f>
        <x:v>81.23737843312423</x:v>
      </x:c>
      <x:c r="J23" s="113" t="n">
        <x:f>'Audit Inputs'!J23</x:f>
        <x:v>73.865739069228</x:v>
      </x:c>
      <x:c r="K23" s="116" t="n">
        <x:f>(LN(H23/I23)+0.5*(E23/100)^2*G23)/((E23/100)*SQRT(G23))</x:f>
        <x:v>-0.546483589679758</x:v>
      </x:c>
      <x:c r="L23" s="116" t="n">
        <x:f>K23-(E23/100)*SQRT(G23)</x:f>
        <x:v>-0.6294637734835409</x:v>
      </x:c>
      <x:c r="M23" s="83" t="n">
        <x:f>EXP(-(F23/100)*G23)*(H23*NORM.S.DIST(K23,TRUE)-I23*NORM.S.DIST(L23,TRUE))</x:f>
        <x:v>1.12718676563594</x:v>
      </x:c>
      <x:c r="N23" s="83" t="n">
        <x:f>(LN(H23/J23)+0.5*(E23/100)^2*G23)/((E23/100)*SQRT(G23))</x:f>
        <x:v>0.5998908098666521</x:v>
      </x:c>
      <x:c r="O23" s="83" t="n">
        <x:f>N23-(E23/100)*SQRT(G23)</x:f>
        <x:v>0.5169106260628692</x:v>
      </x:c>
      <x:c r="P23" s="83" t="n">
        <x:f>EXP(-(F23/100)*G23)*(J23*NORM.S.DIST(-O23,TRUE)-H23*NORM.S.DIST(-N23,TRUE))</x:f>
        <x:v>1.1271867656359649</x:v>
      </x:c>
      <x:c r="Q23" s="83" t="n">
        <x:f>D23-'Assumptions'!$B$8*(C23-H23)/'Assumptions'!$B$16+'Assumptions'!$B$8*'Assumptions'!$B$14</x:f>
        <x:v>2.199917311186872</x:v>
      </x:c>
      <x:c r="R23" s="83" t="n">
        <x:f>D23-'Assumptions'!$B$8*MAX(C23-I23,0)/'Assumptions'!$B$16+'Assumptions'!$B$8*M23/'Assumptions'!$B$16+'Assumptions'!$B$8*'Assumptions'!$B$15</x:f>
        <x:v>2.170091222446136</x:v>
      </x:c>
      <x:c r="S23" s="83" t="n">
        <x:f>D23-'Assumptions'!$B$8*(MAX(C23-I23,0)-MAX(J23-C23,0))/'Assumptions'!$B$16+'Assumptions'!$B$8*'Assumptions'!$B$15</x:f>
        <x:v>2.146740163239291</x:v>
      </x:c>
      <x:c r="T23" s="83" t="n">
        <x:f>'Assumptions'!$B$10*D23+'Assumptions'!$B$11*Q23+'Assumptions'!$B$12*R23+'Assumptions'!$B$13*S23</x:f>
        <x:v>2.167488973446536</x:v>
      </x:c>
      <x:c r="U23" s="119" t="n">
        <x:f>(D23-T23)*'Assumptions'!$B$5</x:f>
        <x:v>-224889.73446535887</x:v>
      </x:c>
      <x:c r="V23" s="122" t="n">
        <x:f>ABS(M23-P23)</x:f>
        <x:v>2.4868995751603507e-14</x:v>
      </x:c>
      <x:c r="W23" s="458"/>
      <x:c r="X23" s="470" t="str">
        <x:v>Verdict</x:v>
      </x:c>
      <x:c r="Y23" s="471" t="str">
        <x:f>IF(AND(Y11&gt;0,Y15&gt;0),"CORRECT",IF(AND(Y12&gt;0,Y15&gt;0),"PARTIALLY CORRECT","NOT CORRECT"))</x:f>
        <x:v>PARTIALLY CORRECT</x:v>
      </x:c>
    </x:row>
    <x:row r="24">
      <x:c r="A24" s="101" t="n">
        <x:f>'Audit Inputs'!B24</x:f>
        <x:v>45747</x:v>
      </x:c>
      <x:c r="B24" s="104" t="n">
        <x:f>'Audit Inputs'!E24</x:f>
        <x:v>74.76</x:v>
      </x:c>
      <x:c r="C24" s="104" t="n">
        <x:f>'Audit Inputs'!F24</x:f>
        <x:v>77.23</x:v>
      </x:c>
      <x:c r="D24" s="104" t="n">
        <x:f>'Audit Inputs'!G24</x:f>
        <x:v>2.135</x:v>
      </x:c>
      <x:c r="E24" s="107" t="n">
        <x:f>'Audit Inputs'!H24</x:f>
        <x:v>29.97</x:v>
      </x:c>
      <x:c r="F24" s="107" t="n">
        <x:f>'Audit Inputs'!I24</x:f>
        <x:v>4.38</x:v>
      </x:c>
      <x:c r="G24" s="110" t="n">
        <x:f>('Audit Inputs'!D24-'Audit Inputs'!C24)/365</x:f>
        <x:v>0.08493150684931507</x:v>
      </x:c>
      <x:c r="H24" s="80" t="n">
        <x:f>B24*EXP((F24/100)*G24)</x:f>
        <x:v>75.03862512141542</x:v>
      </x:c>
      <x:c r="I24" s="80" t="n">
        <x:f>H24*(1+'Assumptions'!$B$9)</x:f>
        <x:v>78.7905563774862</x:v>
      </x:c>
      <x:c r="J24" s="113" t="n">
        <x:f>'Audit Inputs'!J24</x:f>
        <x:v>71.65215181936514</x:v>
      </x:c>
      <x:c r="K24" s="116" t="n">
        <x:f>(LN(H24/I24)+0.5*(E24/100)^2*G24)/((E24/100)*SQRT(G24))</x:f>
        <x:v>-0.5149423059052857</x:v>
      </x:c>
      <x:c r="L24" s="116" t="n">
        <x:f>K24-(E24/100)*SQRT(G24)</x:f>
        <x:v>-0.6022839087589149</x:v>
      </x:c>
      <x:c r="M24" s="83" t="n">
        <x:f>EXP(-(F24/100)*G24)*(H24*NORM.S.DIST(K24,TRUE)-I24*NORM.S.DIST(L24,TRUE))</x:f>
        <x:v>1.2058379858125174</x:v>
      </x:c>
      <x:c r="N24" s="83" t="n">
        <x:f>(LN(H24/J24)+0.5*(E24/100)^2*G24)/((E24/100)*SQRT(G24))</x:f>
        <x:v>0.5723970313629801</x:v>
      </x:c>
      <x:c r="O24" s="83" t="n">
        <x:f>N24-(E24/100)*SQRT(G24)</x:f>
        <x:v>0.4850554285093509</x:v>
      </x:c>
      <x:c r="P24" s="83" t="n">
        <x:f>EXP(-(F24/100)*G24)*(J24*NORM.S.DIST(-O24,TRUE)-H24*NORM.S.DIST(-N24,TRUE))</x:f>
        <x:v>1.2058379858125106</x:v>
      </x:c>
      <x:c r="Q24" s="83" t="n">
        <x:f>D24-'Assumptions'!$B$8*(C24-H24)/'Assumptions'!$B$16+'Assumptions'!$B$8*'Assumptions'!$B$14</x:f>
        <x:v>2.090473057724185</x:v>
      </x:c>
      <x:c r="R24" s="83" t="n">
        <x:f>D24-'Assumptions'!$B$8*MAX(C24-I24,0)/'Assumptions'!$B$16+'Assumptions'!$B$8*M24/'Assumptions'!$B$16+'Assumptions'!$B$8*'Assumptions'!$B$15</x:f>
        <x:v>2.1617205791375245</x:v>
      </x:c>
      <x:c r="S24" s="83" t="n">
        <x:f>D24-'Assumptions'!$B$8*(MAX(C24-I24,0)-MAX(J24-C24,0))/'Assumptions'!$B$16+'Assumptions'!$B$8*'Assumptions'!$B$15</x:f>
        <x:v>2.1367401632392906</x:v>
      </x:c>
      <x:c r="T24" s="83" t="n">
        <x:f>'Assumptions'!$B$10*D24+'Assumptions'!$B$11*Q24+'Assumptions'!$B$12*R24+'Assumptions'!$B$13*S24</x:f>
        <x:v>2.117711272061461</x:v>
      </x:c>
      <x:c r="U24" s="119" t="n">
        <x:f>(D24-T24)*'Assumptions'!$B$5</x:f>
        <x:v>172887.27938538973</x:v>
      </x:c>
      <x:c r="V24" s="122" t="n">
        <x:f>ABS(M24-P24)</x:f>
        <x:v>6.8833827526759706e-15</x:v>
      </x:c>
      <x:c r="W24" s="458"/>
      <x:c r="X24" s="458"/>
      <x:c r="Y24" s="458"/>
    </x:row>
    <x:row r="25">
      <x:c r="A25" s="101" t="n">
        <x:f>'Audit Inputs'!B25</x:f>
        <x:v>45777</x:v>
      </x:c>
      <x:c r="B25" s="104" t="n">
        <x:f>'Audit Inputs'!E25</x:f>
        <x:v>77.23</x:v>
      </x:c>
      <x:c r="C25" s="104" t="n">
        <x:f>'Audit Inputs'!F25</x:f>
        <x:v>63.37</x:v>
      </x:c>
      <x:c r="D25" s="104" t="n">
        <x:f>'Audit Inputs'!G25</x:f>
        <x:v>1.909</x:v>
      </x:c>
      <x:c r="E25" s="107" t="n">
        <x:f>'Audit Inputs'!H25</x:f>
        <x:v>30.88</x:v>
      </x:c>
      <x:c r="F25" s="107" t="n">
        <x:f>'Audit Inputs'!I25</x:f>
        <x:v>4.38</x:v>
      </x:c>
      <x:c r="G25" s="110" t="n">
        <x:f>('Audit Inputs'!D25-'Audit Inputs'!C25)/365</x:f>
        <x:v>0.0821917808219178</x:v>
      </x:c>
      <x:c r="H25" s="80" t="n">
        <x:f>B25*EXP((F25/100)*G25)</x:f>
        <x:v>77.50852905148136</x:v>
      </x:c>
      <x:c r="I25" s="80" t="n">
        <x:f>H25*(1+'Assumptions'!$B$9)</x:f>
        <x:v>81.38395550405544</x:v>
      </x:c>
      <x:c r="J25" s="113" t="n">
        <x:f>'Audit Inputs'!J25</x:f>
        <x:v>74.01374414960725</x:v>
      </x:c>
      <x:c r="K25" s="116" t="n">
        <x:f>(LN(H25/I25)+0.5*(E25/100)^2*G25)/((E25/100)*SQRT(G25))</x:f>
        <x:v>-0.5068480697253895</x:v>
      </x:c>
      <x:c r="L25" s="116" t="n">
        <x:f>K25-(E25/100)*SQRT(G25)</x:f>
        <x:v>-0.5953782781754953</x:v>
      </x:c>
      <x:c r="M25" s="83" t="n">
        <x:f>EXP(-(F25/100)*G25)*(H25*NORM.S.DIST(K25,TRUE)-I25*NORM.S.DIST(L25,TRUE))</x:f>
        <x:v>1.2778186568757763</x:v>
      </x:c>
      <x:c r="N25" s="83" t="n">
        <x:f>(LN(H25/J25)+0.5*(E25/100)^2*G25)/((E25/100)*SQRT(G25))</x:f>
        <x:v>0.5654112268794697</x:v>
      </x:c>
      <x:c r="O25" s="83" t="n">
        <x:f>N25-(E25/100)*SQRT(G25)</x:f>
        <x:v>0.4768810184293639</x:v>
      </x:c>
      <x:c r="P25" s="83" t="n">
        <x:f>EXP(-(F25/100)*G25)*(J25*NORM.S.DIST(-O25,TRUE)-H25*NORM.S.DIST(-N25,TRUE))</x:f>
        <x:v>1.2778186568757728</x:v>
      </x:c>
      <x:c r="Q25" s="83" t="n">
        <x:f>D25-'Assumptions'!$B$8*(C25-H25)/'Assumptions'!$B$16+'Assumptions'!$B$8*'Assumptions'!$B$14</x:f>
        <x:v>2.202767087727215</x:v>
      </x:c>
      <x:c r="R25" s="83" t="n">
        <x:f>D25-'Assumptions'!$B$8*MAX(C25-I25,0)/'Assumptions'!$B$16+'Assumptions'!$B$8*M25/'Assumptions'!$B$16+'Assumptions'!$B$8*'Assumptions'!$B$15</x:f>
        <x:v>1.9372117472056654</x:v>
      </x:c>
      <x:c r="S25" s="83" t="n">
        <x:f>D25-'Assumptions'!$B$8*(MAX(C25-I25,0)-MAX(J25-C25,0))/'Assumptions'!$B$16+'Assumptions'!$B$8*'Assumptions'!$B$15</x:f>
        <x:v>2.1312384048769726</x:v>
      </x:c>
      <x:c r="T25" s="83" t="n">
        <x:f>'Assumptions'!$B$10*D25+'Assumptions'!$B$11*Q25+'Assumptions'!$B$12*R25+'Assumptions'!$B$13*S25</x:f>
        <x:v>2.0931783565539774</x:v>
      </x:c>
      <x:c r="U25" s="119" t="n">
        <x:f>(D25-T25)*'Assumptions'!$B$5</x:f>
        <x:v>-1841783.565539774</x:v>
      </x:c>
      <x:c r="V25" s="122" t="n">
        <x:f>ABS(M25-P25)</x:f>
        <x:v>3.552713678800501e-15</x:v>
      </x:c>
      <x:c r="W25" s="458"/>
      <x:c r="X25" s="458"/>
      <x:c r="Y25" s="458"/>
    </x:row>
    <x:row r="26">
      <x:c r="A26" s="101" t="n">
        <x:f>'Audit Inputs'!B26</x:f>
        <x:v>45808</x:v>
      </x:c>
      <x:c r="B26" s="104" t="n">
        <x:f>'Audit Inputs'!E26</x:f>
        <x:v>63.37</x:v>
      </x:c>
      <x:c r="C26" s="104" t="n">
        <x:f>'Audit Inputs'!F26</x:f>
        <x:v>64.32</x:v>
      </x:c>
      <x:c r="D26" s="104" t="n">
        <x:f>'Audit Inputs'!G26</x:f>
        <x:v>1.846</x:v>
      </x:c>
      <x:c r="E26" s="107" t="n">
        <x:f>'Audit Inputs'!H26</x:f>
        <x:v>54.46</x:v>
      </x:c>
      <x:c r="F26" s="107" t="n">
        <x:f>'Audit Inputs'!I26</x:f>
        <x:v>4.35</x:v>
      </x:c>
      <x:c r="G26" s="110" t="n">
        <x:f>('Audit Inputs'!D26-'Audit Inputs'!C26)/365</x:f>
        <x:v>0.0821917808219178</x:v>
      </x:c>
      <x:c r="H26" s="80" t="n">
        <x:f>B26*EXP((F26/100)*G26)</x:f>
        <x:v>63.596974966887245</x:v>
      </x:c>
      <x:c r="I26" s="80" t="n">
        <x:f>H26*(1+'Assumptions'!$B$9)</x:f>
        <x:v>66.77682371523161</x:v>
      </x:c>
      <x:c r="J26" s="113" t="n">
        <x:f>'Audit Inputs'!J26</x:f>
        <x:v>60.87505048872622</x:v>
      </x:c>
      <x:c r="K26" s="116" t="n">
        <x:f>(LN(H26/I26)+0.5*(E26/100)^2*G26)/((E26/100)*SQRT(G26))</x:f>
        <x:v>-0.23442712707077865</x:v>
      </x:c>
      <x:c r="L26" s="116" t="n">
        <x:f>K26-(E26/100)*SQRT(G26)</x:f>
        <x:v>-0.39055909443453385</x:v>
      </x:c>
      <x:c r="M26" s="83" t="n">
        <x:f>EXP(-(F26/100)*G26)*(H26*NORM.S.DIST(K26,TRUE)-I26*NORM.S.DIST(L26,TRUE))</x:f>
        <x:v>2.652797347510215</x:v>
      </x:c>
      <x:c r="N26" s="83" t="n">
        <x:f>(LN(H26/J26)+0.5*(E26/100)^2*G26)/((E26/100)*SQRT(G26))</x:f>
        <x:v>0.3582295898527075</x:v>
      </x:c>
      <x:c r="O26" s="83" t="n">
        <x:f>N26-(E26/100)*SQRT(G26)</x:f>
        <x:v>0.2020976224889523</x:v>
      </x:c>
      <x:c r="P26" s="83" t="n">
        <x:f>EXP(-(F26/100)*G26)*(J26*NORM.S.DIST(-O26,TRUE)-H26*NORM.S.DIST(-N26,TRUE))</x:f>
        <x:v>2.6527973475102042</x:v>
      </x:c>
      <x:c r="Q26" s="83" t="n">
        <x:f>D26-'Assumptions'!$B$8*(C26-H26)/'Assumptions'!$B$16+'Assumptions'!$B$8*'Assumptions'!$B$14</x:f>
        <x:v>1.831891729432622</x:v>
      </x:c>
      <x:c r="R26" s="83" t="n">
        <x:f>D26-'Assumptions'!$B$8*MAX(C26-I26,0)/'Assumptions'!$B$16+'Assumptions'!$B$8*M26/'Assumptions'!$B$16+'Assumptions'!$B$8*'Assumptions'!$B$15</x:f>
        <x:v>1.9026961206848383</x:v>
      </x:c>
      <x:c r="S26" s="83" t="n">
        <x:f>D26-'Assumptions'!$B$8*(MAX(C26-I26,0)-MAX(J26-C26,0))/'Assumptions'!$B$16+'Assumptions'!$B$8*'Assumptions'!$B$15</x:f>
        <x:v>1.8477401632392911</x:v>
      </x:c>
      <x:c r="T26" s="83" t="n">
        <x:f>'Assumptions'!$B$10*D26+'Assumptions'!$B$11*Q26+'Assumptions'!$B$12*R26+'Assumptions'!$B$13*S26</x:f>
        <x:v>1.840878740744836</x:v>
      </x:c>
      <x:c r="U26" s="119" t="n">
        <x:f>(D26-T26)*'Assumptions'!$B$5</x:f>
        <x:v>51212.59255164157</x:v>
      </x:c>
      <x:c r="V26" s="122" t="n">
        <x:f>ABS(M26-P26)</x:f>
        <x:v>1.0658141036401503e-14</x:v>
      </x:c>
      <x:c r="W26" s="458"/>
      <x:c r="X26" s="458"/>
      <x:c r="Y26" s="458"/>
    </x:row>
    <x:row r="27">
      <x:c r="A27" s="101" t="n">
        <x:f>'Audit Inputs'!B27</x:f>
        <x:v>45838</x:v>
      </x:c>
      <x:c r="B27" s="104" t="n">
        <x:f>'Audit Inputs'!E27</x:f>
        <x:v>64.32</x:v>
      </x:c>
      <x:c r="C27" s="104" t="n">
        <x:f>'Audit Inputs'!F27</x:f>
        <x:v>68.15</x:v>
      </x:c>
      <x:c r="D27" s="104" t="n">
        <x:f>'Audit Inputs'!G27</x:f>
        <x:v>2.177</x:v>
      </x:c>
      <x:c r="E27" s="107" t="n">
        <x:f>'Audit Inputs'!H27</x:f>
        <x:v>40.71</x:v>
      </x:c>
      <x:c r="F27" s="107" t="n">
        <x:f>'Audit Inputs'!I27</x:f>
        <x:v>4.33</x:v>
      </x:c>
      <x:c r="G27" s="110" t="n">
        <x:f>('Audit Inputs'!D27-'Audit Inputs'!C27)/365</x:f>
        <x:v>0.08493150684931507</x:v>
      </x:c>
      <x:c r="H27" s="80" t="n">
        <x:f>B27*EXP((F27/100)*G27)</x:f>
        <x:v>64.55697447654097</x:v>
      </x:c>
      <x:c r="I27" s="80" t="n">
        <x:f>H27*(1+'Assumptions'!$B$9)</x:f>
        <x:v>67.78482320036802</x:v>
      </x:c>
      <x:c r="J27" s="113" t="n">
        <x:f>'Audit Inputs'!J27</x:f>
        <x:v>61.712523115390965</x:v>
      </x:c>
      <x:c r="K27" s="116" t="n">
        <x:f>(LN(H27/I27)+0.5*(E27/100)^2*G27)/((E27/100)*SQRT(G27))</x:f>
        <x:v>-0.351920738803606</x:v>
      </x:c>
      <x:c r="L27" s="116" t="n">
        <x:f>K27-(E27/100)*SQRT(G27)</x:f>
        <x:v>-0.4705619350722495</x:v>
      </x:c>
      <x:c r="M27" s="83" t="n">
        <x:f>EXP(-(F27/100)*G27)*(H27*NORM.S.DIST(K27,TRUE)-I27*NORM.S.DIST(L27,TRUE))</x:f>
        <x:v>1.7702931904878854</x:v>
      </x:c>
      <x:c r="N27" s="83" t="n">
        <x:f>(LN(H27/J27)+0.5*(E27/100)^2*G27)/((E27/100)*SQRT(G27))</x:f>
        <x:v>0.439132015953786</x:v>
      </x:c>
      <x:c r="O27" s="83" t="n">
        <x:f>N27-(E27/100)*SQRT(G27)</x:f>
        <x:v>0.3204908196851425</x:v>
      </x:c>
      <x:c r="P27" s="83" t="n">
        <x:f>EXP(-(F27/100)*G27)*(J27*NORM.S.DIST(-O27,TRUE)-H27*NORM.S.DIST(-N27,TRUE))</x:f>
        <x:v>1.7702931904878854</x:v>
      </x:c>
      <x:c r="Q27" s="83" t="n">
        <x:f>D27-'Assumptions'!$B$8*(C27-H27)/'Assumptions'!$B$16+'Assumptions'!$B$8*'Assumptions'!$B$14</x:f>
        <x:v>2.1034361419320535</x:v>
      </x:c>
      <x:c r="R27" s="83" t="n">
        <x:f>D27-'Assumptions'!$B$8*MAX(C27-I27,0)/'Assumptions'!$B$16+'Assumptions'!$B$8*M27/'Assumptions'!$B$16+'Assumptions'!$B$8*'Assumptions'!$B$15</x:f>
        <x:v>2.2078488762189656</x:v>
      </x:c>
      <x:c r="S27" s="83" t="n">
        <x:f>D27-'Assumptions'!$B$8*(MAX(C27-I27,0)-MAX(J27-C27,0))/'Assumptions'!$B$16+'Assumptions'!$B$8*'Assumptions'!$B$15</x:f>
        <x:v>2.1711750770183205</x:v>
      </x:c>
      <x:c r="T27" s="83" t="n">
        <x:f>'Assumptions'!$B$10*D27+'Assumptions'!$B$11*Q27+'Assumptions'!$B$12*R27+'Assumptions'!$B$13*S27</x:f>
        <x:v>2.1458269798783176</x:v>
      </x:c>
      <x:c r="U27" s="119" t="n">
        <x:f>(D27-T27)*'Assumptions'!$B$5</x:f>
        <x:v>311730.20121682435</x:v>
      </x:c>
      <x:c r="V27" s="122" t="n">
        <x:f>ABS(M27-P27)</x:f>
        <x:v>0</x:v>
      </x:c>
      <x:c r="W27" s="458"/>
      <x:c r="X27" s="458"/>
      <x:c r="Y27" s="458"/>
    </x:row>
    <x:row r="28">
      <x:c r="A28" s="101" t="n">
        <x:f>'Audit Inputs'!B28</x:f>
        <x:v>45869</x:v>
      </x:c>
      <x:c r="B28" s="104" t="n">
        <x:f>'Audit Inputs'!E28</x:f>
        <x:v>68.15</x:v>
      </x:c>
      <x:c r="C28" s="104" t="n">
        <x:f>'Audit Inputs'!F28</x:f>
        <x:v>73.43</x:v>
      </x:c>
      <x:c r="D28" s="104" t="n">
        <x:f>'Audit Inputs'!G28</x:f>
        <x:v>2.148</x:v>
      </x:c>
      <x:c r="E28" s="107" t="n">
        <x:f>'Audit Inputs'!H28</x:f>
        <x:v>38.89</x:v>
      </x:c>
      <x:c r="F28" s="107" t="n">
        <x:f>'Audit Inputs'!I28</x:f>
        <x:v>4.28</x:v>
      </x:c>
      <x:c r="G28" s="110" t="n">
        <x:f>('Audit Inputs'!D28-'Audit Inputs'!C28)/365</x:f>
        <x:v>0.08493150684931507</x:v>
      </x:c>
      <x:c r="H28" s="80" t="n">
        <x:f>B28*EXP((F28/100)*G28)</x:f>
        <x:v>68.39818072148631</x:v>
      </x:c>
      <x:c r="I28" s="80" t="n">
        <x:f>H28*(1+'Assumptions'!$B$9)</x:f>
        <x:v>71.81808975756063</x:v>
      </x:c>
      <x:c r="J28" s="113" t="n">
        <x:f>'Audit Inputs'!J28</x:f>
        <x:v>65.37214458971397</x:v>
      </x:c>
      <x:c r="K28" s="116" t="n">
        <x:f>(LN(H28/I28)+0.5*(E28/100)^2*G28)/((E28/100)*SQRT(G28))</x:f>
        <x:v>-0.3738182974667894</x:v>
      </x:c>
      <x:c r="L28" s="116" t="n">
        <x:f>K28-(E28/100)*SQRT(G28)</x:f>
        <x:v>-0.487155465801045</x:v>
      </x:c>
      <x:c r="M28" s="83" t="n">
        <x:f>EXP(-(F28/100)*G28)*(H28*NORM.S.DIST(K28,TRUE)-I28*NORM.S.DIST(L28,TRUE))</x:f>
        <x:v>1.7406850840553478</x:v>
      </x:c>
      <x:c r="N28" s="83" t="n">
        <x:f>(LN(H28/J28)+0.5*(E28/100)^2*G28)/((E28/100)*SQRT(G28))</x:f>
        <x:v>0.4559196266409591</x:v>
      </x:c>
      <x:c r="O28" s="83" t="n">
        <x:f>N28-(E28/100)*SQRT(G28)</x:f>
        <x:v>0.3425824583067035</x:v>
      </x:c>
      <x:c r="P28" s="83" t="n">
        <x:f>EXP(-(F28/100)*G28)*(J28*NORM.S.DIST(-O28,TRUE)-H28*NORM.S.DIST(-N28,TRUE))</x:f>
        <x:v>1.7406850840553478</x:v>
      </x:c>
      <x:c r="Q28" s="83" t="n">
        <x:f>D28-'Assumptions'!$B$8*(C28-H28)/'Assumptions'!$B$16+'Assumptions'!$B$8*'Assumptions'!$B$14</x:f>
        <x:v>2.0446297609622013</x:v>
      </x:c>
      <x:c r="R28" s="83" t="n">
        <x:f>D28-'Assumptions'!$B$8*MAX(C28-I28,0)/'Assumptions'!$B$16+'Assumptions'!$B$8*M28/'Assumptions'!$B$16+'Assumptions'!$B$8*'Assumptions'!$B$15</x:f>
        <x:v>2.152407892352691</x:v>
      </x:c>
      <x:c r="S28" s="83" t="n">
        <x:f>D28-'Assumptions'!$B$8*(MAX(C28-I28,0)-MAX(J28-C28,0))/'Assumptions'!$B$16+'Assumptions'!$B$8*'Assumptions'!$B$15</x:f>
        <x:v>2.1163474614663187</x:v>
      </x:c>
      <x:c r="T28" s="83" t="n">
        <x:f>'Assumptions'!$B$10*D28+'Assumptions'!$B$11*Q28+'Assumptions'!$B$12*R28+'Assumptions'!$B$13*S28</x:f>
        <x:v>2.097156142824776</x:v>
      </x:c>
      <x:c r="U28" s="119" t="n">
        <x:f>(D28-T28)*'Assumptions'!$B$5</x:f>
        <x:v>508438.57175224106</x:v>
      </x:c>
      <x:c r="V28" s="122" t="n">
        <x:f>ABS(M28-P28)</x:f>
        <x:v>0</x:v>
      </x:c>
      <x:c r="W28" s="458"/>
      <x:c r="X28" s="458"/>
      <x:c r="Y28" s="458"/>
    </x:row>
    <x:row r="29">
      <x:c r="A29" s="101" t="n">
        <x:f>'Audit Inputs'!B29</x:f>
        <x:v>45900</x:v>
      </x:c>
      <x:c r="B29" s="104" t="n">
        <x:f>'Audit Inputs'!E29</x:f>
        <x:v>73.43</x:v>
      </x:c>
      <x:c r="C29" s="104" t="n">
        <x:f>'Audit Inputs'!F29</x:f>
        <x:v>67.83</x:v>
      </x:c>
      <x:c r="D29" s="104" t="n">
        <x:f>'Audit Inputs'!G29</x:f>
        <x:v>2.02</x:v>
      </x:c>
      <x:c r="E29" s="107" t="n">
        <x:f>'Audit Inputs'!H29</x:f>
        <x:v>36.78</x:v>
      </x:c>
      <x:c r="F29" s="107" t="n">
        <x:f>'Audit Inputs'!I29</x:f>
        <x:v>4.49</x:v>
      </x:c>
      <x:c r="G29" s="110" t="n">
        <x:f>('Audit Inputs'!D29-'Audit Inputs'!C29)/365</x:f>
        <x:v>0.07945205479452055</x:v>
      </x:c>
      <x:c r="H29" s="80" t="n">
        <x:f>B29*EXP((F29/100)*G29)</x:f>
        <x:v>73.69242178389307</x:v>
      </x:c>
      <x:c r="I29" s="80" t="n">
        <x:f>H29*(1+'Assumptions'!$B$9)</x:f>
        <x:v>77.37704287308772</x:v>
      </x:c>
      <x:c r="J29" s="113" t="n">
        <x:f>'Audit Inputs'!J29</x:f>
        <x:v>70.407873855216</x:v>
      </x:c>
      <x:c r="K29" s="116" t="n">
        <x:f>(LN(H29/I29)+0.5*(E29/100)^2*G29)/((E29/100)*SQRT(G29))</x:f>
        <x:v>-0.41878107230324985</x:v>
      </x:c>
      <x:c r="L29" s="116" t="n">
        <x:f>K29-(E29/100)*SQRT(G29)</x:f>
        <x:v>-0.5224537442284471</x:v>
      </x:c>
      <x:c r="M29" s="83" t="n">
        <x:f>EXP(-(F29/100)*G29)*(H29*NORM.S.DIST(K29,TRUE)-I29*NORM.S.DIST(L29,TRUE))</x:f>
        <x:v>1.6137700954292435</x:v>
      </x:c>
      <x:c r="N29" s="83" t="n">
        <x:f>(LN(H29/J29)+0.5*(E29/100)^2*G29)/((E29/100)*SQRT(G29))</x:f>
        <x:v>0.491632730064508</x:v>
      </x:c>
      <x:c r="O29" s="83" t="n">
        <x:f>N29-(E29/100)*SQRT(G29)</x:f>
        <x:v>0.38796005813931067</x:v>
      </x:c>
      <x:c r="P29" s="83" t="n">
        <x:f>EXP(-(F29/100)*G29)*(J29*NORM.S.DIST(-O29,TRUE)-H29*NORM.S.DIST(-N29,TRUE))</x:f>
        <x:v>1.6137700954292329</x:v>
      </x:c>
      <x:c r="Q29" s="83" t="n">
        <x:f>D29-'Assumptions'!$B$8*(C29-H29)/'Assumptions'!$B$16+'Assumptions'!$B$8*'Assumptions'!$B$14</x:f>
        <x:v>2.1423173540190446</x:v>
      </x:c>
      <x:c r="R29" s="83" t="n">
        <x:f>D29-'Assumptions'!$B$8*MAX(C29-I29,0)/'Assumptions'!$B$16+'Assumptions'!$B$8*M29/'Assumptions'!$B$16+'Assumptions'!$B$8*'Assumptions'!$B$15</x:f>
        <x:v>2.0551713941527803</x:v>
      </x:c>
      <x:c r="S29" s="83" t="n">
        <x:f>D29-'Assumptions'!$B$8*(MAX(C29-I29,0)-MAX(J29-C29,0))/'Assumptions'!$B$16+'Assumptions'!$B$8*'Assumptions'!$B$15</x:f>
        <x:v>2.075143988458056</x:v>
      </x:c>
      <x:c r="T29" s="83" t="n">
        <x:f>'Assumptions'!$B$10*D29+'Assumptions'!$B$11*Q29+'Assumptions'!$B$12*R29+'Assumptions'!$B$13*S29</x:f>
        <x:v>2.0854701381450345</x:v>
      </x:c>
      <x:c r="U29" s="119" t="n">
        <x:f>(D29-T29)*'Assumptions'!$B$5</x:f>
        <x:v>-654701.3814503443</x:v>
      </x:c>
      <x:c r="V29" s="122" t="n">
        <x:f>ABS(M29-P29)</x:f>
        <x:v>1.0658141036401503e-14</x:v>
      </x:c>
      <x:c r="W29" s="458"/>
      <x:c r="X29" s="458"/>
      <x:c r="Y29" s="458"/>
    </x:row>
    <x:row r="30">
      <x:c r="A30" s="101" t="n">
        <x:f>'Audit Inputs'!B30</x:f>
        <x:v>45930</x:v>
      </x:c>
      <x:c r="B30" s="104" t="n">
        <x:f>'Audit Inputs'!E30</x:f>
        <x:v>67.83</x:v>
      </x:c>
      <x:c r="C30" s="104" t="n">
        <x:f>'Audit Inputs'!F30</x:f>
        <x:v>68.52</x:v>
      </x:c>
      <x:c r="D30" s="104" t="n">
        <x:f>'Audit Inputs'!G30</x:f>
        <x:v>2.076</x:v>
      </x:c>
      <x:c r="E30" s="107" t="n">
        <x:f>'Audit Inputs'!H30</x:f>
        <x:v>32.63</x:v>
      </x:c>
      <x:c r="F30" s="107" t="n">
        <x:f>'Audit Inputs'!I30</x:f>
        <x:v>4.41</x:v>
      </x:c>
      <x:c r="G30" s="110" t="n">
        <x:f>('Audit Inputs'!D30-'Audit Inputs'!C30)/365</x:f>
        <x:v>0.08767123287671233</x:v>
      </x:c>
      <x:c r="H30" s="80" t="n">
        <x:f>B30*EXP((F30/100)*G30)</x:f>
        <x:v>68.09275884704682</x:v>
      </x:c>
      <x:c r="I30" s="80" t="n">
        <x:f>H30*(1+'Assumptions'!$B$9)</x:f>
        <x:v>71.49739678939916</x:v>
      </x:c>
      <x:c r="J30" s="113" t="n">
        <x:f>'Audit Inputs'!J30</x:f>
        <x:v>65.04136614293392</x:v>
      </x:c>
      <x:c r="K30" s="116" t="n">
        <x:f>(LN(H30/I30)+0.5*(E30/100)^2*G30)/((E30/100)*SQRT(G30))</x:f>
        <x:v>-0.4566868813522313</x:v>
      </x:c>
      <x:c r="L30" s="116" t="n">
        <x:f>K30-(E30/100)*SQRT(G30)</x:f>
        <x:v>-0.5533021199472228</x:v>
      </x:c>
      <x:c r="M30" s="83" t="n">
        <x:f>EXP(-(F30/100)*G30)*(H30*NORM.S.DIST(K30,TRUE)-I30*NORM.S.DIST(L30,TRUE))</x:f>
        <x:v>1.317148183145558</x:v>
      </x:c>
      <x:c r="N30" s="83" t="n">
        <x:f>(LN(H30/J30)+0.5*(E30/100)^2*G30)/((E30/100)*SQRT(G30))</x:f>
        <x:v>0.5228435964162429</x:v>
      </x:c>
      <x:c r="O30" s="83" t="n">
        <x:f>N30-(E30/100)*SQRT(G30)</x:f>
        <x:v>0.42622835782125146</x:v>
      </x:c>
      <x:c r="P30" s="83" t="n">
        <x:f>EXP(-(F30/100)*G30)*(J30*NORM.S.DIST(-O30,TRUE)-H30*NORM.S.DIST(-N30,TRUE))</x:f>
        <x:v>1.3171481831455403</x:v>
      </x:c>
      <x:c r="Q30" s="83" t="n">
        <x:f>D30-'Assumptions'!$B$8*(C30-H30)/'Assumptions'!$B$16+'Assumptions'!$B$8*'Assumptions'!$B$14</x:f>
        <x:v>2.068019256040105</x:v>
      </x:c>
      <x:c r="R30" s="83" t="n">
        <x:f>D30-'Assumptions'!$B$8*MAX(C30-I30,0)/'Assumptions'!$B$16+'Assumptions'!$B$8*M30/'Assumptions'!$B$16+'Assumptions'!$B$8*'Assumptions'!$B$15</x:f>
        <x:v>2.1050265066798723</x:v>
      </x:c>
      <x:c r="S30" s="83" t="n">
        <x:f>D30-'Assumptions'!$B$8*(MAX(C30-I30,0)-MAX(J30-C30,0))/'Assumptions'!$B$16+'Assumptions'!$B$8*'Assumptions'!$B$15</x:f>
        <x:v>2.077740163239291</x:v>
      </x:c>
      <x:c r="T30" s="83" t="n">
        <x:f>'Assumptions'!$B$10*D30+'Assumptions'!$B$11*Q30+'Assumptions'!$B$12*R30+'Assumptions'!$B$13*S30</x:f>
        <x:v>2.0733297513878295</x:v>
      </x:c>
      <x:c r="U30" s="119" t="n">
        <x:f>(D30-T30)*'Assumptions'!$B$5</x:f>
        <x:v>26702.48612170578</x:v>
      </x:c>
      <x:c r="V30" s="122" t="n">
        <x:f>ABS(M30-P30)</x:f>
        <x:v>1.7763568394002505e-14</x:v>
      </x:c>
      <x:c r="W30" s="458"/>
      <x:c r="X30" s="458"/>
      <x:c r="Y30" s="458"/>
    </x:row>
    <x:row r="31">
      <x:c r="A31" s="101" t="n">
        <x:f>'Audit Inputs'!B31</x:f>
        <x:v>45961</x:v>
      </x:c>
      <x:c r="B31" s="104" t="n">
        <x:f>'Audit Inputs'!E31</x:f>
        <x:v>68.52</x:v>
      </x:c>
      <x:c r="C31" s="104" t="n">
        <x:f>'Audit Inputs'!F31</x:f>
        <x:v>65.44</x:v>
      </x:c>
      <x:c r="D31" s="104" t="n">
        <x:f>'Audit Inputs'!G31</x:f>
        <x:v>2.245</x:v>
      </x:c>
      <x:c r="E31" s="107" t="n">
        <x:f>'Audit Inputs'!H31</x:f>
        <x:v>35.58</x:v>
      </x:c>
      <x:c r="F31" s="107" t="n">
        <x:f>'Audit Inputs'!I31</x:f>
        <x:v>4.2</x:v>
      </x:c>
      <x:c r="G31" s="110" t="n">
        <x:f>('Audit Inputs'!D31-'Audit Inputs'!C31)/365</x:f>
        <x:v>0.08493150684931507</x:v>
      </x:c>
      <x:c r="H31" s="80" t="n">
        <x:f>B31*EXP((F31/100)*G31)</x:f>
        <x:v>68.76485574334717</x:v>
      </x:c>
      <x:c r="I31" s="80" t="n">
        <x:f>H31*(1+'Assumptions'!$B$9)</x:f>
        <x:v>72.20309853051454</x:v>
      </x:c>
      <x:c r="J31" s="113" t="n">
        <x:f>'Audit Inputs'!J31</x:f>
        <x:v>65.69997721110062</x:v>
      </x:c>
      <x:c r="K31" s="116" t="n">
        <x:f>(LN(H31/I31)+0.5*(E31/100)^2*G31)/((E31/100)*SQRT(G31))</x:f>
        <x:v>-0.41868957079068353</x:v>
      </x:c>
      <x:c r="L31" s="116" t="n">
        <x:f>K31-(E31/100)*SQRT(G31)</x:f>
        <x:v>-0.522380402606904</x:v>
      </x:c>
      <x:c r="M31" s="83" t="n">
        <x:f>EXP(-(F31/100)*G31)*(H31*NORM.S.DIST(K31,TRUE)-I31*NORM.S.DIST(L31,TRUE))</x:f>
        <x:v>1.5063178364764942</x:v>
      </x:c>
      <x:c r="N31" s="83" t="n">
        <x:f>(LN(H31/J31)+0.5*(E31/100)^2*G31)/((E31/100)*SQRT(G31))</x:f>
        <x:v>0.4915585257122664</x:v>
      </x:c>
      <x:c r="O31" s="83" t="n">
        <x:f>N31-(E31/100)*SQRT(G31)</x:f>
        <x:v>0.3878676938960459</x:v>
      </x:c>
      <x:c r="P31" s="83" t="n">
        <x:f>EXP(-(F31/100)*G31)*(J31*NORM.S.DIST(-O31,TRUE)-H31*NORM.S.DIST(-N31,TRUE))</x:f>
        <x:v>1.506317836476487</x:v>
      </x:c>
      <x:c r="Q31" s="83" t="n">
        <x:f>D31-'Assumptions'!$B$8*(C31-H31)/'Assumptions'!$B$16+'Assumptions'!$B$8*'Assumptions'!$B$14</x:f>
        <x:v>2.3147485547210542</x:v>
      </x:c>
      <x:c r="R31" s="83" t="n">
        <x:f>D31-'Assumptions'!$B$8*MAX(C31-I31,0)/'Assumptions'!$B$16+'Assumptions'!$B$8*M31/'Assumptions'!$B$16+'Assumptions'!$B$8*'Assumptions'!$B$15</x:f>
        <x:v>2.277945388545538</x:v>
      </x:c>
      <x:c r="S31" s="83" t="n">
        <x:f>D31-'Assumptions'!$B$8*(MAX(C31-I31,0)-MAX(J31-C31,0))/'Assumptions'!$B$16+'Assumptions'!$B$8*'Assumptions'!$B$15</x:f>
        <x:v>2.252125910689418</x:v>
      </x:c>
      <x:c r="T31" s="83" t="n">
        <x:f>'Assumptions'!$B$10*D31+'Assumptions'!$B$11*Q31+'Assumptions'!$B$12*R31+'Assumptions'!$B$13*S31</x:f>
        <x:v>2.2750371950952473</x:v>
      </x:c>
      <x:c r="U31" s="119" t="n">
        <x:f>(D31-T31)*'Assumptions'!$B$5</x:f>
        <x:v>-300371.9509524716</x:v>
      </x:c>
      <x:c r="V31" s="122" t="n">
        <x:f>ABS(M31-P31)</x:f>
        <x:v>7.105427357601002e-15</x:v>
      </x:c>
      <x:c r="W31" s="458"/>
      <x:c r="X31" s="458"/>
      <x:c r="Y31" s="458"/>
    </x:row>
    <x:row r="32">
      <x:c r="A32" s="101" t="n">
        <x:f>'Audit Inputs'!B32</x:f>
        <x:v>45991</x:v>
      </x:c>
      <x:c r="B32" s="104" t="n">
        <x:f>'Audit Inputs'!E32</x:f>
        <x:v>65.44</x:v>
      </x:c>
      <x:c r="C32" s="104" t="n">
        <x:f>'Audit Inputs'!F32</x:f>
        <x:v>64.07</x:v>
      </x:c>
      <x:c r="D32" s="104" t="n">
        <x:f>'Audit Inputs'!G32</x:f>
        <x:v>2.05</x:v>
      </x:c>
      <x:c r="E32" s="107" t="n">
        <x:f>'Audit Inputs'!H32</x:f>
        <x:v>36.2</x:v>
      </x:c>
      <x:c r="F32" s="107" t="n">
        <x:f>'Audit Inputs'!I32</x:f>
        <x:v>4.06</x:v>
      </x:c>
      <x:c r="G32" s="110" t="n">
        <x:f>('Audit Inputs'!D32-'Audit Inputs'!C32)/365</x:f>
        <x:v>0.07671232876712329</x:v>
      </x:c>
      <x:c r="H32" s="80" t="n">
        <x:f>B32*EXP((F32/100)*G32)</x:f>
        <x:v>65.64413194621734</x:v>
      </x:c>
      <x:c r="I32" s="80" t="n">
        <x:f>H32*(1+'Assumptions'!$B$9)</x:f>
        <x:v>68.92633854352822</x:v>
      </x:c>
      <x:c r="J32" s="113" t="n">
        <x:f>'Audit Inputs'!J32</x:f>
        <x:v>62.71065691235226</x:v>
      </x:c>
      <x:c r="K32" s="116" t="n">
        <x:f>(LN(H32/I32)+0.5*(E32/100)^2*G32)/((E32/100)*SQRT(G32))</x:f>
        <x:v>-0.4364897591942693</x:v>
      </x:c>
      <x:c r="L32" s="116" t="n">
        <x:f>K32-(E32/100)*SQRT(G32)</x:f>
        <x:v>-0.5367528651254088</x:v>
      </x:c>
      <x:c r="M32" s="83" t="n">
        <x:f>EXP(-(F32/100)*G32)*(H32*NORM.S.DIST(K32,TRUE)-I32*NORM.S.DIST(L32,TRUE))</x:f>
        <x:v>1.3569369110383467</x:v>
      </x:c>
      <x:c r="N32" s="83" t="n">
        <x:f>(LN(H32/J32)+0.5*(E32/100)^2*G32)/((E32/100)*SQRT(G32))</x:f>
        <x:v>0.5061000023519372</x:v>
      </x:c>
      <x:c r="O32" s="83" t="n">
        <x:f>N32-(E32/100)*SQRT(G32)</x:f>
        <x:v>0.4058368964207977</x:v>
      </x:c>
      <x:c r="P32" s="83" t="n">
        <x:f>EXP(-(F32/100)*G32)*(J32*NORM.S.DIST(-O32,TRUE)-H32*NORM.S.DIST(-N32,TRUE))</x:f>
        <x:v>1.3569369110383502</x:v>
      </x:c>
      <x:c r="Q32" s="83" t="n">
        <x:f>D32-'Assumptions'!$B$8*(C32-H32)/'Assumptions'!$B$16+'Assumptions'!$B$8*'Assumptions'!$B$14</x:f>
        <x:v>2.0834801595553722</x:v>
      </x:c>
      <x:c r="R32" s="83" t="n">
        <x:f>D32-'Assumptions'!$B$8*MAX(C32-I32,0)/'Assumptions'!$B$16+'Assumptions'!$B$8*M32/'Assumptions'!$B$16+'Assumptions'!$B$8*'Assumptions'!$B$15</x:f>
        <x:v>2.0798507790800764</x:v>
      </x:c>
      <x:c r="S32" s="83" t="n">
        <x:f>D32-'Assumptions'!$B$8*(MAX(C32-I32,0)-MAX(J32-C32,0))/'Assumptions'!$B$16+'Assumptions'!$B$8*'Assumptions'!$B$15</x:f>
        <x:v>2.0517401632392906</x:v>
      </x:c>
      <x:c r="T32" s="83" t="n">
        <x:f>'Assumptions'!$B$10*D32+'Assumptions'!$B$11*Q32+'Assumptions'!$B$12*R32+'Assumptions'!$B$13*S32</x:f>
        <x:v>2.063914112793936</x:v>
      </x:c>
      <x:c r="U32" s="119" t="n">
        <x:f>(D32-T32)*'Assumptions'!$B$5</x:f>
        <x:v>-139141.12793936173</x:v>
      </x:c>
      <x:c r="V32" s="122" t="n">
        <x:f>ABS(M32-P32)</x:f>
        <x:v>3.552713678800501e-15</x:v>
      </x:c>
      <x:c r="W32" s="458"/>
      <x:c r="X32" s="458"/>
      <x:c r="Y32" s="458"/>
    </x:row>
    <x:row r="33">
      <x:c r="A33" s="101" t="n">
        <x:f>'Audit Inputs'!B33</x:f>
        <x:v>46022</x:v>
      </x:c>
      <x:c r="B33" s="104" t="n">
        <x:f>'Audit Inputs'!E33</x:f>
        <x:v>64.07</x:v>
      </x:c>
      <x:c r="C33" s="104" t="n">
        <x:f>'Audit Inputs'!F33</x:f>
        <x:v>61.35</x:v>
      </x:c>
      <x:c r="D33" s="104" t="n">
        <x:f>'Audit Inputs'!G33</x:f>
        <x:v>1.911</x:v>
      </x:c>
      <x:c r="E33" s="107" t="n">
        <x:f>'Audit Inputs'!H33</x:f>
        <x:v>35.95</x:v>
      </x:c>
      <x:c r="F33" s="107" t="n">
        <x:f>'Audit Inputs'!I33</x:f>
        <x:v>4.05</x:v>
      </x:c>
      <x:c r="G33" s="110" t="n">
        <x:f>('Audit Inputs'!D33-'Audit Inputs'!C33)/365</x:f>
        <x:v>0.09041095890410959</x:v>
      </x:c>
      <x:c r="H33" s="80" t="n">
        <x:f>B33*EXP((F33/100)*G33)</x:f>
        <x:v>64.30503155887591</x:v>
      </x:c>
      <x:c r="I33" s="80" t="n">
        <x:f>H33*(1+'Assumptions'!$B$9)</x:f>
        <x:v>67.52028313681971</x:v>
      </x:c>
      <x:c r="J33" s="113" t="n">
        <x:f>'Audit Inputs'!J33</x:f>
        <x:v>61.448597630269845</x:v>
      </x:c>
      <x:c r="K33" s="116" t="n">
        <x:f>(LN(H33/I33)+0.5*(E33/100)^2*G33)/((E33/100)*SQRT(G33))</x:f>
        <x:v>-0.3973117932601155</x:v>
      </x:c>
      <x:c r="L33" s="116" t="n">
        <x:f>K33-(E33/100)*SQRT(G33)</x:f>
        <x:v>-0.5054077456889963</x:v>
      </x:c>
      <x:c r="M33" s="83" t="n">
        <x:f>EXP(-(F33/100)*G33)*(H33*NORM.S.DIST(K33,TRUE)-I33*NORM.S.DIST(L33,TRUE))</x:f>
        <x:v>1.512098392217053</x:v>
      </x:c>
      <x:c r="N33" s="83" t="n">
        <x:f>(LN(H33/J33)+0.5*(E33/100)^2*G33)/((E33/100)*SQRT(G33))</x:f>
        <x:v>0.4743862407628801</x:v>
      </x:c>
      <x:c r="O33" s="83" t="n">
        <x:f>N33-(E33/100)*SQRT(G33)</x:f>
        <x:v>0.36629028833399935</x:v>
      </x:c>
      <x:c r="P33" s="83" t="n">
        <x:f>EXP(-(F33/100)*G33)*(J33*NORM.S.DIST(-O33,TRUE)-H33*NORM.S.DIST(-N33,TRUE))</x:f>
        <x:v>1.5120983922170355</x:v>
      </x:c>
      <x:c r="Q33" s="83" t="n">
        <x:f>D33-'Assumptions'!$B$8*(C33-H33)/'Assumptions'!$B$16+'Assumptions'!$B$8*'Assumptions'!$B$14</x:f>
        <x:v>1.9730871922113198</x:v>
      </x:c>
      <x:c r="R33" s="83" t="n">
        <x:f>D33-'Assumptions'!$B$8*MAX(C33-I33,0)/'Assumptions'!$B$16+'Assumptions'!$B$8*M33/'Assumptions'!$B$16+'Assumptions'!$B$8*'Assumptions'!$B$15</x:f>
        <x:v>1.9440651398622333</x:v>
      </x:c>
      <x:c r="S33" s="83" t="n">
        <x:f>D33-'Assumptions'!$B$8*(MAX(C33-I33,0)-MAX(J33-C33,0))/'Assumptions'!$B$16+'Assumptions'!$B$8*'Assumptions'!$B$15</x:f>
        <x:v>1.9147827343306814</x:v>
      </x:c>
      <x:c r="T33" s="83" t="n">
        <x:f>'Assumptions'!$B$10*D33+'Assumptions'!$B$11*Q33+'Assumptions'!$B$12*R33+'Assumptions'!$B$13*S33</x:f>
        <x:v>1.9369696971837325</x:v>
      </x:c>
      <x:c r="U33" s="119" t="n">
        <x:f>(D33-T33)*'Assumptions'!$B$5</x:f>
        <x:v>-259696.97183732432</x:v>
      </x:c>
      <x:c r="V33" s="122" t="n">
        <x:f>ABS(M33-P33)</x:f>
        <x:v>1.7541523789077473e-14</x:v>
      </x:c>
      <x:c r="W33" s="458"/>
      <x:c r="X33" s="458"/>
      <x:c r="Y33" s="458"/>
    </x:row>
    <x:row r="34">
      <x:c r="A34" s="101" t="n">
        <x:f>'Audit Inputs'!B34</x:f>
        <x:v>46053</x:v>
      </x:c>
      <x:c r="B34" s="104" t="n">
        <x:f>'Audit Inputs'!E34</x:f>
        <x:v>61.35</x:v>
      </x:c>
      <x:c r="C34" s="104" t="n">
        <x:f>'Audit Inputs'!F34</x:f>
        <x:v>72.25</x:v>
      </x:c>
      <x:c r="D34" s="104" t="n">
        <x:f>'Audit Inputs'!G34</x:f>
        <x:v>2.277</x:v>
      </x:c>
      <x:c r="E34" s="107" t="n">
        <x:f>'Audit Inputs'!H34</x:f>
        <x:v>30.17</x:v>
      </x:c>
      <x:c r="F34" s="107" t="n">
        <x:f>'Audit Inputs'!I34</x:f>
        <x:v>3.74</x:v>
      </x:c>
      <x:c r="G34" s="110" t="n">
        <x:f>('Audit Inputs'!D34-'Audit Inputs'!C34)/365</x:f>
        <x:v>0.0821917808219178</x:v>
      </x:c>
      <x:c r="H34" s="80" t="n">
        <x:f>B34*EXP((F34/100)*G34)</x:f>
        <x:v>61.538878373920625</x:v>
      </x:c>
      <x:c r="I34" s="80" t="n">
        <x:f>H34*(1+'Assumptions'!$B$9)</x:f>
        <x:v>64.61582229261666</x:v>
      </x:c>
      <x:c r="J34" s="113" t="n">
        <x:f>'Audit Inputs'!J34</x:f>
        <x:v>58.75986052370071</x:v>
      </x:c>
      <x:c r="K34" s="116" t="n">
        <x:f>(LN(H34/I34)+0.5*(E34/100)^2*G34)/((E34/100)*SQRT(G34))</x:f>
        <x:v>-0.5208353409422741</x:v>
      </x:c>
      <x:c r="L34" s="116" t="n">
        <x:f>K34-(E34/100)*SQRT(G34)</x:f>
        <x:v>-0.6073300426566424</x:v>
      </x:c>
      <x:c r="M34" s="83" t="n">
        <x:f>EXP(-(F34/100)*G34)*(H34*NORM.S.DIST(K34,TRUE)-I34*NORM.S.DIST(L34,TRUE))</x:f>
        <x:v>0.9714153346756357</x:v>
      </x:c>
      <x:c r="N34" s="83" t="n">
        <x:f>(LN(H34/J34)+0.5*(E34/100)^2*G34)/((E34/100)*SQRT(G34))</x:f>
        <x:v>0.5775016485370839</x:v>
      </x:c>
      <x:c r="O34" s="83" t="n">
        <x:f>N34-(E34/100)*SQRT(G34)</x:f>
        <x:v>0.4910069468227156</x:v>
      </x:c>
      <x:c r="P34" s="83" t="n">
        <x:f>EXP(-(F34/100)*G34)*(J34*NORM.S.DIST(-O34,TRUE)-H34*NORM.S.DIST(-N34,TRUE))</x:f>
        <x:v>0.9714153346756179</x:v>
      </x:c>
      <x:c r="Q34" s="83" t="n">
        <x:f>D34-'Assumptions'!$B$8*(C34-H34)/'Assumptions'!$B$16+'Assumptions'!$B$8*'Assumptions'!$B$14</x:f>
        <x:v>2.055976032747286</x:v>
      </x:c>
      <x:c r="R34" s="83" t="n">
        <x:f>D34-'Assumptions'!$B$8*MAX(C34-I34,0)/'Assumptions'!$B$16+'Assumptions'!$B$8*M34/'Assumptions'!$B$16+'Assumptions'!$B$8*'Assumptions'!$B$15</x:f>
        <x:v>2.1407128518926566</x:v>
      </x:c>
      <x:c r="S34" s="83" t="n">
        <x:f>D34-'Assumptions'!$B$8*(MAX(C34-I34,0)-MAX(J34-C34,0))/'Assumptions'!$B$16+'Assumptions'!$B$8*'Assumptions'!$B$15</x:f>
        <x:v>2.120588789327346</x:v>
      </x:c>
      <x:c r="T34" s="83" t="n">
        <x:f>'Assumptions'!$B$10*D34+'Assumptions'!$B$11*Q34+'Assumptions'!$B$12*R34+'Assumptions'!$B$13*S34</x:f>
        <x:v>2.1416670498971184</x:v>
      </x:c>
      <x:c r="U34" s="119" t="n">
        <x:f>(D34-T34)*'Assumptions'!$B$5</x:f>
        <x:v>1353329.5010288171</x:v>
      </x:c>
      <x:c r="V34" s="122" t="n">
        <x:f>ABS(M34-P34)</x:f>
        <x:v>1.7763568394002505e-14</x:v>
      </x:c>
      <x:c r="W34" s="458"/>
      <x:c r="X34" s="458"/>
      <x:c r="Y34" s="458"/>
    </x:row>
    <x:row r="35">
      <x:c r="A35" s="101" t="n">
        <x:f>'Audit Inputs'!B35</x:f>
        <x:v>46081</x:v>
      </x:c>
      <x:c r="B35" s="104" t="n">
        <x:f>'Audit Inputs'!E35</x:f>
        <x:v>72.25</x:v>
      </x:c>
      <x:c r="C35" s="104" t="n">
        <x:f>'Audit Inputs'!F35</x:f>
        <x:v>71.32</x:v>
      </x:c>
      <x:c r="D35" s="104" t="n">
        <x:f>'Audit Inputs'!G35</x:f>
        <x:v>2.428</x:v>
      </x:c>
      <x:c r="E35" s="107" t="n">
        <x:f>'Audit Inputs'!H35</x:f>
        <x:v>55.91</x:v>
      </x:c>
      <x:c r="F35" s="107" t="n">
        <x:f>'Audit Inputs'!I35</x:f>
        <x:v>3.72</x:v>
      </x:c>
      <x:c r="G35" s="110" t="n">
        <x:f>('Audit Inputs'!D35-'Audit Inputs'!C35)/365</x:f>
        <x:v>0.07671232876712329</x:v>
      </x:c>
      <x:c r="H35" s="80" t="n">
        <x:f>B35*EXP((F35/100)*G35)</x:f>
        <x:v>72.45647419346874</x:v>
      </x:c>
      <x:c r="I35" s="80" t="n">
        <x:f>H35*(1+'Assumptions'!$B$9)</x:f>
        <x:v>76.07929790314218</x:v>
      </x:c>
      <x:c r="J35" s="113" t="n">
        <x:f>'Audit Inputs'!J35</x:f>
        <x:v>69.35228232243296</x:v>
      </x:c>
      <x:c r="K35" s="116" t="n">
        <x:f>(LN(H35/I35)+0.5*(E35/100)^2*G35)/((E35/100)*SQRT(G35))</x:f>
        <x:v>-0.23764534862907472</x:v>
      </x:c>
      <x:c r="L35" s="116" t="n">
        <x:f>K35-(E35/100)*SQRT(G35)</x:f>
        <x:v>-0.3924992230105667</x:v>
      </x:c>
      <x:c r="M35" s="83" t="n">
        <x:f>EXP(-(F35/100)*G35)*(H35*NORM.S.DIST(K35,TRUE)-I35*NORM.S.DIST(L35,TRUE))</x:f>
        <x:v>2.9887050665337846</x:v>
      </x:c>
      <x:c r="N35" s="83" t="n">
        <x:f>(LN(H35/J35)+0.5*(E35/100)^2*G35)/((E35/100)*SQRT(G35))</x:f>
        <x:v>0.36019008649747225</x:v>
      </x:c>
      <x:c r="O35" s="83" t="n">
        <x:f>N35-(E35/100)*SQRT(G35)</x:f>
        <x:v>0.20533621211598027</x:v>
      </x:c>
      <x:c r="P35" s="83" t="n">
        <x:f>EXP(-(F35/100)*G35)*(J35*NORM.S.DIST(-O35,TRUE)-H35*NORM.S.DIST(-N35,TRUE))</x:f>
        <x:v>2.988705066533774</x:v>
      </x:c>
      <x:c r="Q35" s="83" t="n">
        <x:f>D35-'Assumptions'!$B$8*(C35-H35)/'Assumptions'!$B$16+'Assumptions'!$B$8*'Assumptions'!$B$14</x:f>
        <x:v>2.45241354130866</x:v>
      </x:c>
      <x:c r="R35" s="83" t="n">
        <x:f>D35-'Assumptions'!$B$8*MAX(C35-I35,0)/'Assumptions'!$B$16+'Assumptions'!$B$8*M35/'Assumptions'!$B$16+'Assumptions'!$B$8*'Assumptions'!$B$15</x:f>
        <x:v>2.491654861928158</x:v>
      </x:c>
      <x:c r="S35" s="83" t="n">
        <x:f>D35-'Assumptions'!$B$8*(MAX(C35-I35,0)-MAX(J35-C35,0))/'Assumptions'!$B$16+'Assumptions'!$B$8*'Assumptions'!$B$15</x:f>
        <x:v>2.4297401632392908</x:v>
      </x:c>
      <x:c r="T35" s="83" t="n">
        <x:f>'Assumptions'!$B$10*D35+'Assumptions'!$B$11*Q35+'Assumptions'!$B$12*R35+'Assumptions'!$B$13*S35</x:f>
        <x:v>2.438287465495251</x:v>
      </x:c>
      <x:c r="U35" s="119" t="n">
        <x:f>(D35-T35)*'Assumptions'!$B$5</x:f>
        <x:v>-102874.65495251169</x:v>
      </x:c>
      <x:c r="V35" s="122" t="n">
        <x:f>ABS(M35-P35)</x:f>
        <x:v>1.0658141036401503e-14</x:v>
      </x:c>
      <x:c r="W35" s="458"/>
      <x:c r="X35" s="458"/>
      <x:c r="Y35" s="458"/>
    </x:row>
    <x:row r="36">
      <x:c r="A36" s="101" t="n">
        <x:f>'Audit Inputs'!B36</x:f>
        <x:v>46112</x:v>
      </x:c>
      <x:c r="B36" s="104" t="n">
        <x:f>'Audit Inputs'!E36</x:f>
        <x:v>71.32</x:v>
      </x:c>
      <x:c r="C36" s="104" t="n">
        <x:f>'Audit Inputs'!F36</x:f>
        <x:v>126.69</x:v>
      </x:c>
      <x:c r="D36" s="104" t="n">
        <x:f>'Audit Inputs'!G36</x:f>
        <x:v>3.965</x:v>
      </x:c>
      <x:c r="E36" s="107" t="n">
        <x:f>'Audit Inputs'!H36</x:f>
        <x:v>64.68</x:v>
      </x:c>
      <x:c r="F36" s="107" t="n">
        <x:f>'Audit Inputs'!I36</x:f>
        <x:v>3.74</x:v>
      </x:c>
      <x:c r="G36" s="110" t="n">
        <x:f>('Audit Inputs'!D36-'Audit Inputs'!C36)/365</x:f>
        <x:v>0.08767123287671233</x:v>
      </x:c>
      <x:c r="H36" s="80" t="n">
        <x:f>B36*EXP((F36/100)*G36)</x:f>
        <x:v>71.5542352486963</x:v>
      </x:c>
      <x:c r="I36" s="80" t="n">
        <x:f>H36*(1+'Assumptions'!$B$9)</x:f>
        <x:v>75.13194701113112</x:v>
      </x:c>
      <x:c r="J36" s="113" t="n">
        <x:f>'Audit Inputs'!J36</x:f>
        <x:v>68.57509374366967</x:v>
      </x:c>
      <x:c r="K36" s="116" t="n">
        <x:f>(LN(H36/I36)+0.5*(E36/100)^2*G36)/((E36/100)*SQRT(G36))</x:f>
        <x:v>-0.15900488146811778</x:v>
      </x:c>
      <x:c r="L36" s="116" t="n">
        <x:f>K36-(E36/100)*SQRT(G36)</x:f>
        <x:v>-0.3505180176104422</x:v>
      </x:c>
      <x:c r="M36" s="83" t="n">
        <x:f>EXP(-(F36/100)*G36)*(H36*NORM.S.DIST(K36,TRUE)-I36*NORM.S.DIST(L36,TRUE))</x:f>
        <x:v>3.9731501426120848</x:v>
      </x:c>
      <x:c r="N36" s="83" t="n">
        <x:f>(LN(H36/J36)+0.5*(E36/100)^2*G36)/((E36/100)*SQRT(G36))</x:f>
        <x:v>0.31781075252255586</x:v>
      </x:c>
      <x:c r="O36" s="83" t="n">
        <x:f>N36-(E36/100)*SQRT(G36)</x:f>
        <x:v>0.1262976163802314</x:v>
      </x:c>
      <x:c r="P36" s="83" t="n">
        <x:f>EXP(-(F36/100)*G36)*(J36*NORM.S.DIST(-O36,TRUE)-H36*NORM.S.DIST(-N36,TRUE))</x:f>
        <x:v>3.973150142612064</x:v>
      </x:c>
      <x:c r="Q36" s="83" t="n">
        <x:f>D36-'Assumptions'!$B$8*(C36-H36)/'Assumptions'!$B$16+'Assumptions'!$B$8*'Assumptions'!$B$14</x:f>
        <x:v>2.823664950781365</x:v>
      </x:c>
      <x:c r="R36" s="83" t="n">
        <x:f>D36-'Assumptions'!$B$8*MAX(C36-I36,0)/'Assumptions'!$B$16+'Assumptions'!$B$8*M36/'Assumptions'!$B$16+'Assumptions'!$B$8*'Assumptions'!$B$15</x:f>
        <x:v>2.980960417069171</x:v>
      </x:c>
      <x:c r="S36" s="83" t="n">
        <x:f>D36-'Assumptions'!$B$8*(MAX(C36-I36,0)-MAX(J36-C36,0))/'Assumptions'!$B$16+'Assumptions'!$B$8*'Assumptions'!$B$15</x:f>
        <x:v>2.8986517287077738</x:v>
      </x:c>
      <x:c r="T36" s="83" t="n">
        <x:f>'Assumptions'!$B$10*D36+'Assumptions'!$B$11*Q36+'Assumptions'!$B$12*R36+'Assumptions'!$B$13*S36</x:f>
        <x:v>3.1885614989248783</x:v>
      </x:c>
      <x:c r="U36" s="119" t="n">
        <x:f>(D36-T36)*'Assumptions'!$B$5</x:f>
        <x:v>7764385.010751216</x:v>
      </x:c>
      <x:c r="V36" s="122" t="n">
        <x:f>ABS(M36-P36)</x:f>
        <x:v>2.0872192862952943e-14</x:v>
      </x:c>
      <x:c r="W36" s="458"/>
      <x:c r="X36" s="458"/>
      <x:c r="Y36" s="458"/>
    </x:row>
    <x:row r="37">
      <x:c r="A37" s="101" t="n">
        <x:f>'Audit Inputs'!B37</x:f>
        <x:v>46142</x:v>
      </x:c>
      <x:c r="B37" s="104" t="n">
        <x:f>'Audit Inputs'!E37</x:f>
        <x:v>126.69</x:v>
      </x:c>
      <x:c r="C37" s="104" t="n">
        <x:f>'Audit Inputs'!F37</x:f>
        <x:v>124.24</x:v>
      </x:c>
      <x:c r="D37" s="104" t="n">
        <x:f>'Audit Inputs'!G37</x:f>
        <x:v>4.287</x:v>
      </x:c>
      <x:c r="E37" s="107" t="n">
        <x:f>'Audit Inputs'!H37</x:f>
        <x:v>89.39</x:v>
      </x:c>
      <x:c r="F37" s="107" t="n">
        <x:f>'Audit Inputs'!I37</x:f>
        <x:v>3.74</x:v>
      </x:c>
      <x:c r="G37" s="110" t="n">
        <x:f>('Audit Inputs'!D37-'Audit Inputs'!C37)/365</x:f>
        <x:v>0.0821917808219178</x:v>
      </x:c>
      <x:c r="H37" s="80" t="n">
        <x:f>B37*EXP((F37/100)*G37)</x:f>
        <x:v>127.0800407692258</x:v>
      </x:c>
      <x:c r="I37" s="80" t="n">
        <x:f>H37*(1+'Assumptions'!$B$9)</x:f>
        <x:v>133.4340428076871</x:v>
      </x:c>
      <x:c r="J37" s="113" t="n">
        <x:f>'Audit Inputs'!J37</x:f>
        <x:v>122.05096413663432</x:v>
      </x:c>
      <x:c r="K37" s="116" t="n">
        <x:f>(LN(H37/I37)+0.5*(E37/100)^2*G37)/((E37/100)*SQRT(G37))</x:f>
        <x:v>-0.06224684757338737</x:v>
      </x:c>
      <x:c r="L37" s="116" t="n">
        <x:f>K37-(E37/100)*SQRT(G37)</x:f>
        <x:v>-0.3185200125136385</x:v>
      </x:c>
      <x:c r="M37" s="83" t="n">
        <x:f>EXP(-(F37/100)*G37)*(H37*NORM.S.DIST(K37,TRUE)-I37*NORM.S.DIST(L37,TRUE))</x:f>
        <x:v>10.310742504295945</x:v>
      </x:c>
      <x:c r="N37" s="83" t="n">
        <x:f>(LN(H37/J37)+0.5*(E37/100)^2*G37)/((E37/100)*SQRT(G37))</x:f>
        <x:v>0.28569671521581796</x:v>
      </x:c>
      <x:c r="O37" s="83" t="n">
        <x:f>N37-(E37/100)*SQRT(G37)</x:f>
        <x:v>0.029423550275566868</x:v>
      </x:c>
      <x:c r="P37" s="83" t="n">
        <x:f>EXP(-(F37/100)*G37)*(J37*NORM.S.DIST(-O37,TRUE)-H37*NORM.S.DIST(-N37,TRUE))</x:f>
        <x:v>10.310742504295952</x:v>
      </x:c>
      <x:c r="Q37" s="83" t="n">
        <x:f>D37-'Assumptions'!$B$8*(C37-H37)/'Assumptions'!$B$16+'Assumptions'!$B$8*'Assumptions'!$B$14</x:f>
        <x:v>4.346705016675532</x:v>
      </x:c>
      <x:c r="R37" s="83" t="n">
        <x:f>D37-'Assumptions'!$B$8*MAX(C37-I37,0)/'Assumptions'!$B$16+'Assumptions'!$B$8*M37/'Assumptions'!$B$16+'Assumptions'!$B$8*'Assumptions'!$B$15</x:f>
        <x:v>4.502339866522281</x:v>
      </x:c>
      <x:c r="S37" s="83" t="n">
        <x:f>D37-'Assumptions'!$B$8*(MAX(C37-I37,0)-MAX(J37-C37,0))/'Assumptions'!$B$16+'Assumptions'!$B$8*'Assumptions'!$B$15</x:f>
        <x:v>4.288740163239291</x:v>
      </x:c>
      <x:c r="T37" s="83" t="n">
        <x:f>'Assumptions'!$B$10*D37+'Assumptions'!$B$11*Q37+'Assumptions'!$B$12*R37+'Assumptions'!$B$13*S37</x:f>
        <x:v>4.311404055642</x:v>
      </x:c>
      <x:c r="U37" s="119" t="n">
        <x:f>(D37-T37)*'Assumptions'!$B$5</x:f>
        <x:v>-244040.5564199999</x:v>
      </x:c>
      <x:c r="V37" s="122" t="n">
        <x:f>ABS(M37-P37)</x:f>
        <x:v>7.105427357601002e-15</x:v>
      </x:c>
      <x:c r="W37" s="458"/>
      <x:c r="X37" s="458"/>
      <x:c r="Y37" s="458"/>
    </x:row>
    <x:row r="38">
      <x:c r="A38" s="101" t="n">
        <x:f>'Audit Inputs'!B38</x:f>
        <x:v>46173</x:v>
      </x:c>
      <x:c r="B38" s="104" t="n">
        <x:f>'Audit Inputs'!E38</x:f>
        <x:v>124.24</x:v>
      </x:c>
      <x:c r="C38" s="104" t="n">
        <x:f>'Audit Inputs'!F38</x:f>
        <x:v>92.88</x:v>
      </x:c>
      <x:c r="D38" s="104" t="n">
        <x:f>'Audit Inputs'!G38</x:f>
        <x:v>3.237</x:v>
      </x:c>
      <x:c r="E38" s="107" t="n">
        <x:f>'Audit Inputs'!H38</x:f>
        <x:v>75.08</x:v>
      </x:c>
      <x:c r="F38" s="107" t="n">
        <x:f>'Audit Inputs'!I38</x:f>
        <x:v>3.72</x:v>
      </x:c>
      <x:c r="G38" s="110" t="n">
        <x:f>('Audit Inputs'!D38-'Audit Inputs'!C38)/365</x:f>
        <x:v>0.07945205479452055</x:v>
      </x:c>
      <x:c r="H38" s="80" t="n">
        <x:f>B38*EXP((F38/100)*G38)</x:f>
        <x:v>124.6077489810571</x:v>
      </x:c>
      <x:c r="I38" s="80" t="n">
        <x:f>H38*(1+'Assumptions'!$B$9)</x:f>
        <x:v>130.83813643010996</x:v>
      </x:c>
      <x:c r="J38" s="113" t="n">
        <x:f>'Audit Inputs'!J38</x:f>
        <x:v>119.50075323994542</x:v>
      </x:c>
      <x:c r="K38" s="116" t="n">
        <x:f>(LN(H38/I38)+0.5*(E38/100)^2*G38)/((E38/100)*SQRT(G38))</x:f>
        <x:v>-0.12472996026215188</x:v>
      </x:c>
      <x:c r="L38" s="116" t="n">
        <x:f>K38-(E38/100)*SQRT(G38)</x:f>
        <x:v>-0.33635976472500706</x:v>
      </x:c>
      <x:c r="M38" s="83" t="n">
        <x:f>EXP(-(F38/100)*G38)*(H38*NORM.S.DIST(K38,TRUE)-I38*NORM.S.DIST(L38,TRUE))</x:f>
        <x:v>7.908358775793031</x:v>
      </x:c>
      <x:c r="N38" s="83" t="n">
        <x:f>(LN(H38/J38)+0.5*(E38/100)^2*G38)/((E38/100)*SQRT(G38))</x:f>
        <x:v>0.303556996121097</x:v>
      </x:c>
      <x:c r="O38" s="83" t="n">
        <x:f>N38-(E38/100)*SQRT(G38)</x:f>
        <x:v>0.09192719165824181</x:v>
      </x:c>
      <x:c r="P38" s="83" t="n">
        <x:f>EXP(-(F38/100)*G38)*(J38*NORM.S.DIST(-O38,TRUE)-H38*NORM.S.DIST(-N38,TRUE))</x:f>
        <x:v>7.908358775793024</x:v>
      </x:c>
      <x:c r="Q38" s="83" t="n">
        <x:f>D38-'Assumptions'!$B$8*(C38-H38)/'Assumptions'!$B$16+'Assumptions'!$B$8*'Assumptions'!$B$14</x:f>
        <x:v>3.8951493964087915</x:v>
      </x:c>
      <x:c r="R38" s="83" t="n">
        <x:f>D38-'Assumptions'!$B$8*MAX(C38-I38,0)/'Assumptions'!$B$16+'Assumptions'!$B$8*M38/'Assumptions'!$B$16+'Assumptions'!$B$8*'Assumptions'!$B$15</x:f>
        <x:v>3.4025715349626178</x:v>
      </x:c>
      <x:c r="S38" s="83" t="n">
        <x:f>D38-'Assumptions'!$B$8*(MAX(C38-I38,0)-MAX(J38-C38,0))/'Assumptions'!$B$16+'Assumptions'!$B$8*'Assumptions'!$B$15</x:f>
        <x:v>3.7902217845534576</x:v>
      </x:c>
      <x:c r="T38" s="83" t="n">
        <x:f>'Assumptions'!$B$10*D38+'Assumptions'!$B$11*Q38+'Assumptions'!$B$12*R38+'Assumptions'!$B$13*S38</x:f>
        <x:v>3.666226293929554</x:v>
      </x:c>
      <x:c r="U38" s="119" t="n">
        <x:f>(D38-T38)*'Assumptions'!$B$5</x:f>
        <x:v>-4292262.939295539</x:v>
      </x:c>
      <x:c r="V38" s="122" t="n">
        <x:f>ABS(M38-P38)</x:f>
        <x:v>7.105427357601002e-15</x:v>
      </x:c>
      <x:c r="W38" s="458"/>
      <x:c r="X38" s="458"/>
      <x:c r="Y38" s="458"/>
    </x:row>
    <x:row r="39">
      <x:c r="A39" s="102" t="n">
        <x:f>'Audit Inputs'!B39</x:f>
        <x:v>46203</x:v>
      </x:c>
      <x:c r="B39" s="105" t="n">
        <x:f>'Audit Inputs'!E39</x:f>
        <x:v>92.88</x:v>
      </x:c>
      <x:c r="C39" s="105" t="n">
        <x:f>'Audit Inputs'!F39</x:f>
        <x:v>70.46</x:v>
      </x:c>
      <x:c r="D39" s="105" t="n">
        <x:f>'Audit Inputs'!G39</x:f>
        <x:v>2.867</x:v>
      </x:c>
      <x:c r="E39" s="108" t="n">
        <x:f>'Audit Inputs'!H39</x:f>
        <x:v>57.84</x:v>
      </x:c>
      <x:c r="F39" s="108" t="n">
        <x:f>'Audit Inputs'!I39</x:f>
        <x:v>3.72</x:v>
      </x:c>
      <x:c r="G39" s="111" t="n">
        <x:f>('Audit Inputs'!D39-'Audit Inputs'!C39)/365</x:f>
        <x:v>0.08767123287671233</x:v>
      </x:c>
      <x:c r="H39" s="81" t="n">
        <x:f>B39*EXP((F39/100)*G39)</x:f>
        <x:v>93.18341053092124</x:v>
      </x:c>
      <x:c r="I39" s="81" t="n">
        <x:f>H39*(1+'Assumptions'!$B$9)</x:f>
        <x:v>97.8425810574673</x:v>
      </x:c>
      <x:c r="J39" s="114" t="n">
        <x:f>'Audit Inputs'!J39</x:f>
        <x:v>89.24191444504785</x:v>
      </x:c>
      <x:c r="K39" s="117" t="n">
        <x:f>(LN(H39/I39)+0.5*(E39/100)^2*G39)/((E39/100)*SQRT(G39))</x:f>
        <x:v>-0.19925866311917906</x:v>
      </x:c>
      <x:c r="L39" s="117" t="n">
        <x:f>K39-(E39/100)*SQRT(G39)</x:f>
        <x:v>-0.370519018630497</x:v>
      </x:c>
      <x:c r="M39" s="84" t="n">
        <x:f>EXP(-(F39/100)*G39)*(H39*NORM.S.DIST(K39,TRUE)-I39*NORM.S.DIST(L39,TRUE))</x:f>
        <x:v>4.435707955668765</x:v>
      </x:c>
      <x:c r="N39" s="84" t="n">
        <x:f>(LN(H39/J39)+0.5*(E39/100)^2*G39)/((E39/100)*SQRT(G39))</x:f>
        <x:v>0.33798796961610933</x:v>
      </x:c>
      <x:c r="O39" s="84" t="n">
        <x:f>N39-(E39/100)*SQRT(G39)</x:f>
        <x:v>0.16672761410479137</x:v>
      </x:c>
      <x:c r="P39" s="84" t="n">
        <x:f>EXP(-(F39/100)*G39)*(J39*NORM.S.DIST(-O39,TRUE)-H39*NORM.S.DIST(-N39,TRUE))</x:f>
        <x:v>4.435707955668772</x:v>
      </x:c>
      <x:c r="Q39" s="84" t="n">
        <x:f>D39-'Assumptions'!$B$8*(C39-H39)/'Assumptions'!$B$16+'Assumptions'!$B$8*'Assumptions'!$B$14</x:f>
        <x:v>3.338613458729494</x:v>
      </x:c>
      <x:c r="R39" s="84" t="n">
        <x:f>D39-'Assumptions'!$B$8*MAX(C39-I39,0)/'Assumptions'!$B$16+'Assumptions'!$B$8*M39/'Assumptions'!$B$16+'Assumptions'!$B$8*'Assumptions'!$B$15</x:f>
        <x:v>2.960631305199832</x:v>
      </x:c>
      <x:c r="S39" s="84" t="n">
        <x:f>D39-'Assumptions'!$B$8*(MAX(C39-I39,0)-MAX(J39-C39,0))/'Assumptions'!$B$16+'Assumptions'!$B$8*'Assumptions'!$B$15</x:f>
        <x:v>3.25783060467716</x:v>
      </x:c>
      <x:c r="T39" s="84" t="n">
        <x:f>'Assumptions'!$B$10*D39+'Assumptions'!$B$11*Q39+'Assumptions'!$B$12*R39+'Assumptions'!$B$13*S39</x:f>
        <x:v>3.1728945648949454</x:v>
      </x:c>
      <x:c r="U39" s="120" t="n">
        <x:f>(D39-T39)*'Assumptions'!$B$5</x:f>
        <x:v>-3058945.6489494536</x:v>
      </x:c>
      <x:c r="V39" s="123" t="n">
        <x:f>ABS(M39-P39)</x:f>
        <x:v>7.105427357601002e-15</x:v>
      </x:c>
      <x:c r="W39" s="458"/>
      <x:c r="X39" s="458"/>
      <x:c r="Y39" s="458"/>
    </x:row>
  </x:sheetData>
  <x:mergeCells>
    <x:mergeCell ref="A1:Y1"/>
    <x:mergeCell ref="A2:Y2"/>
  </x:mergeCells>
  <x:conditionalFormatting sqref="Y23:Y23">
    <x:cfRule type="containsText" dxfId="0" priority="1" operator="containsText" text="PARTIALLY"/>
  </x:conditionalFormatting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16" hidden="0" customWidth="1"/>
    <x:col min="3" max="3" width="15" hidden="0" customWidth="1"/>
    <x:col min="4" max="4" width="3" hidden="0" customWidth="1"/>
    <x:col min="5" max="5" width="26" hidden="0" customWidth="1"/>
    <x:col min="6" max="6" width="18" hidden="0" customWidth="1"/>
  </x:cols>
  <x:sheetData>
    <x:row r="1" ht="34" customHeight="1">
      <x:c r="A1" s="3" t="str">
        <x:v>CURRENT HEDGE TICKET</x:v>
      </x:c>
      <x:c r="B1" s="3" t="str">
        <x:v>CURRENT HEDGE TICKET</x:v>
      </x:c>
      <x:c r="C1" s="3" t="str">
        <x:v>CURRENT HEDGE TICKET</x:v>
      </x:c>
      <x:c r="D1" s="3" t="str">
        <x:v>CURRENT HEDGE TICKET</x:v>
      </x:c>
      <x:c r="E1" s="3" t="str">
        <x:v>CURRENT HEDGE TICKET</x:v>
      </x:c>
      <x:c r="F1" s="3" t="str">
        <x:v>CURRENT HEDGE TICKET</x:v>
      </x:c>
    </x:row>
    <x:row r="2" ht="30" customHeight="1">
      <x:c r="A2" s="7" t="str">
        <x:v>Editable one-month recommendation using the latest common EIA/Cboe/FRED snapshot: 2026-07-27.</x:v>
      </x:c>
      <x:c r="B2" s="7" t="str">
        <x:v>Editable one-month recommendation using the latest common EIA/Cboe/FRED snapshot: 2026-07-27.</x:v>
      </x:c>
      <x:c r="C2" s="7" t="str">
        <x:v>Editable one-month recommendation using the latest common EIA/Cboe/FRED snapshot: 2026-07-27.</x:v>
      </x:c>
      <x:c r="D2" s="7" t="str">
        <x:v>Editable one-month recommendation using the latest common EIA/Cboe/FRED snapshot: 2026-07-27.</x:v>
      </x:c>
      <x:c r="E2" s="7" t="str">
        <x:v>Editable one-month recommendation using the latest common EIA/Cboe/FRED snapshot: 2026-07-27.</x:v>
      </x:c>
      <x:c r="F2" s="7" t="str">
        <x:v>Editable one-month recommendation using the latest common EIA/Cboe/FRED snapshot: 2026-07-27.</x:v>
      </x:c>
    </x:row>
    <x:row r="3">
      <x:c r="A3" s="458"/>
      <x:c r="B3" s="458"/>
      <x:c r="C3" s="458"/>
      <x:c r="D3" s="458"/>
      <x:c r="E3" s="458"/>
      <x:c r="F3" s="458"/>
    </x:row>
    <x:row r="4" ht="22" customHeight="1">
      <x:c r="A4" s="12" t="str">
        <x:v>Current market input</x:v>
      </x:c>
      <x:c r="B4" s="12" t="str">
        <x:v>Value</x:v>
      </x:c>
      <x:c r="C4" s="12" t="str">
        <x:v>Units</x:v>
      </x:c>
      <x:c r="D4" s="458"/>
      <x:c r="E4" s="153" t="str">
        <x:v>Formula outputs</x:v>
      </x:c>
      <x:c r="F4" s="153" t="str">
        <x:v>Formula outputs</x:v>
      </x:c>
    </x:row>
    <x:row r="5">
      <x:c r="A5" s="23" t="str">
        <x:v>As-of date</x:v>
      </x:c>
      <x:c r="B5" s="146" t="n">
        <x:v>46230</x:v>
      </x:c>
      <x:c r="C5" s="25" t="str">
        <x:v>date</x:v>
      </x:c>
      <x:c r="D5" s="458"/>
      <x:c r="E5" s="472" t="str">
        <x:v>T (years)</x:v>
      </x:c>
      <x:c r="F5" s="473" t="n">
        <x:f>B10/365</x:f>
        <x:v>0.08493150684931507</x:v>
      </x:c>
    </x:row>
    <x:row r="6">
      <x:c r="A6" s="26" t="str">
        <x:v>Brent spot</x:v>
      </x:c>
      <x:c r="B6" s="147" t="n">
        <x:v>91.82</x:v>
      </x:c>
      <x:c r="C6" s="28" t="str">
        <x:v>$/bbl</x:v>
      </x:c>
      <x:c r="D6" s="458"/>
      <x:c r="E6" s="474" t="str">
        <x:v>Synthetic 1M future</x:v>
      </x:c>
      <x:c r="F6" s="475" t="n">
        <x:f>B6*EXP(B9*F5)</x:f>
        <x:v>92.11681833413697</x:v>
      </x:c>
    </x:row>
    <x:row r="7">
      <x:c r="A7" s="26" t="str">
        <x:v>Jet-fuel spot</x:v>
      </x:c>
      <x:c r="B7" s="147" t="n">
        <x:v>3.582</x:v>
      </x:c>
      <x:c r="C7" s="28" t="str">
        <x:v>$/gal</x:v>
      </x:c>
      <x:c r="D7" s="458"/>
      <x:c r="E7" s="474" t="str">
        <x:v>Call strike</x:v>
      </x:c>
      <x:c r="F7" s="475" t="n">
        <x:f>F6*(1+'Assumptions'!$B$9)</x:f>
        <x:v>96.72265925084382</x:v>
      </x:c>
    </x:row>
    <x:row r="8">
      <x:c r="A8" s="26" t="str">
        <x:v>OVX</x:v>
      </x:c>
      <x:c r="B8" s="148" t="n">
        <x:v>0.6062</x:v>
      </x:c>
      <x:c r="C8" s="28" t="str">
        <x:v>%</x:v>
      </x:c>
      <x:c r="D8" s="458"/>
      <x:c r="E8" s="474" t="str">
        <x:v>Call d1</x:v>
      </x:c>
      <x:c r="F8" s="476" t="n">
        <x:f>(LN(F6/F7)+0.5*B8^2*F5)/(B8*SQRT(F5))</x:f>
        <x:v>-0.18784098953167008</x:v>
      </x:c>
    </x:row>
    <x:row r="9">
      <x:c r="A9" s="26" t="str">
        <x:v>1M Treasury</x:v>
      </x:c>
      <x:c r="B9" s="148" t="n">
        <x:v>0.038</x:v>
      </x:c>
      <x:c r="C9" s="28" t="str">
        <x:v>%</x:v>
      </x:c>
      <x:c r="D9" s="458"/>
      <x:c r="E9" s="474" t="str">
        <x:v>Call d2</x:v>
      </x:c>
      <x:c r="F9" s="476" t="n">
        <x:f>F8-B8*SQRT(F5)</x:f>
        <x:v>-0.36450591996166687</x:v>
      </x:c>
    </x:row>
    <x:row r="10">
      <x:c r="A10" s="26" t="str">
        <x:v>Days to expiry</x:v>
      </x:c>
      <x:c r="B10" s="149" t="n">
        <x:v>31</x:v>
      </x:c>
      <x:c r="C10" s="28" t="str">
        <x:v>days</x:v>
      </x:c>
      <x:c r="D10" s="458"/>
      <x:c r="E10" s="474" t="str">
        <x:v>Call premium</x:v>
      </x:c>
      <x:c r="F10" s="477" t="n">
        <x:f>EXP(-B9*F5)*(F6*NORM.S.DIST(F8,TRUE)-F7*NORM.S.DIST(F9,TRUE))</x:f>
        <x:v>4.579386423565392</x:v>
      </x:c>
    </x:row>
    <x:row r="11">
      <x:c r="A11" s="26" t="str">
        <x:v>Current beta</x:v>
      </x:c>
      <x:c r="B11" s="37" t="n">
        <x:v>1.0953048316309966</x:v>
      </x:c>
      <x:c r="C11" s="28" t="str">
        <x:v>x</x:v>
      </x:c>
      <x:c r="D11" s="458"/>
      <x:c r="E11" s="474" t="str">
        <x:v>Put d1</x:v>
      </x:c>
      <x:c r="F11" s="476" t="n">
        <x:f>(LN(F6/B16)+0.5*B8^2*F5)/(B8*SQRT(F5))</x:f>
        <x:v>0.3319185102639952</x:v>
      </x:c>
    </x:row>
    <x:row r="12">
      <x:c r="A12" s="26" t="str">
        <x:v>Unhedged weight</x:v>
      </x:c>
      <x:c r="B12" s="38" t="n">
        <x:v>0.3</x:v>
      </x:c>
      <x:c r="C12" s="28" t="str">
        <x:v>%</x:v>
      </x:c>
      <x:c r="D12" s="458"/>
      <x:c r="E12" s="474" t="str">
        <x:v>Put d2</x:v>
      </x:c>
      <x:c r="F12" s="476" t="n">
        <x:f>F11-B8*SQRT(F5)</x:f>
        <x:v>0.15525357983399843</x:v>
      </x:c>
    </x:row>
    <x:row r="13">
      <x:c r="A13" s="26" t="str">
        <x:v>Futures weight</x:v>
      </x:c>
      <x:c r="B13" s="38" t="n">
        <x:v>0.4</x:v>
      </x:c>
      <x:c r="C13" s="28" t="str">
        <x:v>%</x:v>
      </x:c>
      <x:c r="D13" s="458"/>
      <x:c r="E13" s="474" t="str">
        <x:v>Put premium</x:v>
      </x:c>
      <x:c r="F13" s="477" t="n">
        <x:f>EXP(-B9*F5)*(B16*NORM.S.DIST(-F12,TRUE)-F6*NORM.S.DIST(-F11,TRUE))</x:f>
        <x:v>4.579386423565406</x:v>
      </x:c>
    </x:row>
    <x:row r="14">
      <x:c r="A14" s="26" t="str">
        <x:v>Call weight</x:v>
      </x:c>
      <x:c r="B14" s="38" t="n">
        <x:v>0</x:v>
      </x:c>
      <x:c r="C14" s="28" t="str">
        <x:v>%</x:v>
      </x:c>
      <x:c r="D14" s="458"/>
      <x:c r="E14" s="474" t="str">
        <x:v>Premium difference</x:v>
      </x:c>
      <x:c r="F14" s="477" t="n">
        <x:f>F10-F13</x:f>
        <x:v>-1.4210854715202004e-14</x:v>
      </x:c>
    </x:row>
    <x:row r="15">
      <x:c r="A15" s="26" t="str">
        <x:v>Collar weight</x:v>
      </x:c>
      <x:c r="B15" s="38" t="n">
        <x:v>0.3</x:v>
      </x:c>
      <x:c r="C15" s="28" t="str">
        <x:v>%</x:v>
      </x:c>
      <x:c r="D15" s="458"/>
      <x:c r="E15" s="474" t="str">
        <x:v>Economic hedge share</x:v>
      </x:c>
      <x:c r="F15" s="478" t="n">
        <x:f>1-B12</x:f>
        <x:v>0.7</x:v>
      </x:c>
    </x:row>
    <x:row r="16">
      <x:c r="A16" s="29" t="str">
        <x:v>Goal-seek put strike</x:v>
      </x:c>
      <x:c r="B16" s="150" t="n">
        <x:v>88.23682777906075</x:v>
      </x:c>
      <x:c r="C16" s="31" t="str">
        <x:v>$/bbl</x:v>
      </x:c>
      <x:c r="D16" s="458"/>
      <x:c r="E16" s="474" t="str">
        <x:v>Effective hedged gallons</x:v>
      </x:c>
      <x:c r="F16" s="479" t="n">
        <x:f>'Assumptions'!$B$5*B11*F15</x:f>
        <x:v>7667133.821416976</x:v>
      </x:c>
    </x:row>
    <x:row r="17">
      <x:c r="A17" s="458"/>
      <x:c r="B17" s="458"/>
      <x:c r="C17" s="458"/>
      <x:c r="D17" s="458"/>
      <x:c r="E17" s="474" t="str">
        <x:v>Futures contracts</x:v>
      </x:c>
      <x:c r="F17" s="479" t="n">
        <x:f>ROUND(('Assumptions'!$B$5*B11*B13)/'Assumptions'!$B$16/'Assumptions'!$B$17,0)</x:f>
        <x:v>104</x:v>
      </x:c>
    </x:row>
    <x:row r="18">
      <x:c r="A18" s="458"/>
      <x:c r="B18" s="458"/>
      <x:c r="C18" s="458"/>
      <x:c r="D18" s="458"/>
      <x:c r="E18" s="474" t="str">
        <x:v>Collar contracts</x:v>
      </x:c>
      <x:c r="F18" s="479" t="n">
        <x:f>ROUND(('Assumptions'!$B$5*B11*B15)/'Assumptions'!$B$16/'Assumptions'!$B$17,0)</x:f>
        <x:v>78</x:v>
      </x:c>
    </x:row>
    <x:row r="19">
      <x:c r="A19" s="458"/>
      <x:c r="B19" s="458"/>
      <x:c r="C19" s="458"/>
      <x:c r="D19" s="458"/>
      <x:c r="E19" s="480" t="str">
        <x:v>Recommendation</x:v>
      </x:c>
      <x:c r="F19" s="481" t="str">
        <x:f>IF(F15&gt;=50%,"HEDGE","PARTIAL HEDGE")</x:f>
        <x:v>HEDGE</x:v>
      </x:c>
    </x:row>
    <x:row r="20">
      <x:c r="A20" s="458"/>
      <x:c r="B20" s="458"/>
      <x:c r="C20" s="458"/>
      <x:c r="D20" s="458"/>
      <x:c r="E20" s="458"/>
      <x:c r="F20" s="458"/>
    </x:row>
    <x:row r="21">
      <x:c r="A21" s="186" t="str">
        <x:v>Trade translation: go long the futures contracts; for each collar contract, buy the one-month $96.72 call and sell the $88.24 put. To refresh the zero-cost strike after editing inputs, use Goal Seek: set Premium difference (F14) to 0 by changing B16.</x:v>
      </x:c>
      <x:c r="B21" s="187" t="str">
        <x:v>Trade translation: go long the futures contracts; for each collar contract, buy the one-month $96.72 call and sell the $88.24 put. To refresh the zero-cost strike after editing inputs, use Goal Seek: set Premium difference (F14) to 0 by changing B16.</x:v>
      </x:c>
      <x:c r="C21" s="187" t="str">
        <x:v>Trade translation: go long the futures contracts; for each collar contract, buy the one-month $96.72 call and sell the $88.24 put. To refresh the zero-cost strike after editing inputs, use Goal Seek: set Premium difference (F14) to 0 by changing B16.</x:v>
      </x:c>
      <x:c r="D21" s="187" t="str">
        <x:v>Trade translation: go long the futures contracts; for each collar contract, buy the one-month $96.72 call and sell the $88.24 put. To refresh the zero-cost strike after editing inputs, use Goal Seek: set Premium difference (F14) to 0 by changing B16.</x:v>
      </x:c>
      <x:c r="E21" s="187" t="str">
        <x:v>Trade translation: go long the futures contracts; for each collar contract, buy the one-month $96.72 call and sell the $88.24 put. To refresh the zero-cost strike after editing inputs, use Goal Seek: set Premium difference (F14) to 0 by changing B16.</x:v>
      </x:c>
      <x:c r="F21" s="188" t="str">
        <x:v>Trade translation: go long the futures contracts; for each collar contract, buy the one-month $96.72 call and sell the $88.24 put. To refresh the zero-cost strike after editing inputs, use Goal Seek: set Premium difference (F14) to 0 by changing B16.</x:v>
      </x:c>
    </x:row>
    <x:row r="22">
      <x:c r="A22" s="189" t="str">
        <x:v>Trade translation: go long the futures contracts; for each collar contract, buy the one-month $96.72 call and sell the $88.24 put. To refresh the zero-cost strike after editing inputs, use Goal Seek: set Premium difference (F14) to 0 by changing B16.</x:v>
      </x:c>
      <x:c r="B22" s="190" t="str">
        <x:v>Trade translation: go long the futures contracts; for each collar contract, buy the one-month $96.72 call and sell the $88.24 put. To refresh the zero-cost strike after editing inputs, use Goal Seek: set Premium difference (F14) to 0 by changing B16.</x:v>
      </x:c>
      <x:c r="C22" s="190" t="str">
        <x:v>Trade translation: go long the futures contracts; for each collar contract, buy the one-month $96.72 call and sell the $88.24 put. To refresh the zero-cost strike after editing inputs, use Goal Seek: set Premium difference (F14) to 0 by changing B16.</x:v>
      </x:c>
      <x:c r="D22" s="190" t="str">
        <x:v>Trade translation: go long the futures contracts; for each collar contract, buy the one-month $96.72 call and sell the $88.24 put. To refresh the zero-cost strike after editing inputs, use Goal Seek: set Premium difference (F14) to 0 by changing B16.</x:v>
      </x:c>
      <x:c r="E22" s="190" t="str">
        <x:v>Trade translation: go long the futures contracts; for each collar contract, buy the one-month $96.72 call and sell the $88.24 put. To refresh the zero-cost strike after editing inputs, use Goal Seek: set Premium difference (F14) to 0 by changing B16.</x:v>
      </x:c>
      <x:c r="F22" s="191" t="str">
        <x:v>Trade translation: go long the futures contracts; for each collar contract, buy the one-month $96.72 call and sell the $88.24 put. To refresh the zero-cost strike after editing inputs, use Goal Seek: set Premium difference (F14) to 0 by changing B16.</x:v>
      </x:c>
    </x:row>
    <x:row r="23">
      <x:c r="A23" s="192" t="str">
        <x:v>Trade translation: go long the futures contracts; for each collar contract, buy the one-month $96.72 call and sell the $88.24 put. To refresh the zero-cost strike after editing inputs, use Goal Seek: set Premium difference (F14) to 0 by changing B16.</x:v>
      </x:c>
      <x:c r="B23" s="193" t="str">
        <x:v>Trade translation: go long the futures contracts; for each collar contract, buy the one-month $96.72 call and sell the $88.24 put. To refresh the zero-cost strike after editing inputs, use Goal Seek: set Premium difference (F14) to 0 by changing B16.</x:v>
      </x:c>
      <x:c r="C23" s="193" t="str">
        <x:v>Trade translation: go long the futures contracts; for each collar contract, buy the one-month $96.72 call and sell the $88.24 put. To refresh the zero-cost strike after editing inputs, use Goal Seek: set Premium difference (F14) to 0 by changing B16.</x:v>
      </x:c>
      <x:c r="D23" s="193" t="str">
        <x:v>Trade translation: go long the futures contracts; for each collar contract, buy the one-month $96.72 call and sell the $88.24 put. To refresh the zero-cost strike after editing inputs, use Goal Seek: set Premium difference (F14) to 0 by changing B16.</x:v>
      </x:c>
      <x:c r="E23" s="193" t="str">
        <x:v>Trade translation: go long the futures contracts; for each collar contract, buy the one-month $96.72 call and sell the $88.24 put. To refresh the zero-cost strike after editing inputs, use Goal Seek: set Premium difference (F14) to 0 by changing B16.</x:v>
      </x:c>
      <x:c r="F23" s="194" t="str">
        <x:v>Trade translation: go long the futures contracts; for each collar contract, buy the one-month $96.72 call and sell the $88.24 put. To refresh the zero-cost strike after editing inputs, use Goal Seek: set Premium difference (F14) to 0 by changing B16.</x:v>
      </x:c>
    </x:row>
  </x:sheetData>
  <x:mergeCells>
    <x:mergeCell ref="A1:F1"/>
    <x:mergeCell ref="A2:F2"/>
    <x:mergeCell ref="E4:F4"/>
    <x:mergeCell ref="A21:F23"/>
  </x:mergeCells>
  <x:conditionalFormatting sqref="F19:F19">
    <x:cfRule type="containsText" dxfId="1" priority="1" operator="containsText" text="HEDGE"/>
  </x:conditionalFormatting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35" hidden="0" customWidth="1"/>
  </x:cols>
  <x:sheetData>
    <x:row r="1" ht="34" customHeight="1">
      <x:c r="A1" s="3" t="str">
        <x:v>MODEL CHECKS</x:v>
      </x:c>
      <x:c r="B1" s="3" t="str">
        <x:v>MODEL CHECKS</x:v>
      </x:c>
      <x:c r="C1" s="3" t="str">
        <x:v>MODEL CHECKS</x:v>
      </x:c>
      <x:c r="D1" s="3" t="str">
        <x:v>MODEL CHECKS</x:v>
      </x:c>
      <x:c r="E1" s="3" t="str">
        <x:v>MODEL CHECKS</x:v>
      </x:c>
      <x:c r="F1" s="3" t="str">
        <x:v>MODEL CHECKS</x:v>
      </x:c>
      <x:c r="G1" s="3" t="str">
        <x:v>MODEL CHECKS</x:v>
      </x:c>
    </x:row>
    <x:row r="2" ht="30" customHeight="1">
      <x:c r="A2" s="7" t="str">
        <x:v>One assertion per row. The model is ready only when every status is OK.</x:v>
      </x:c>
      <x:c r="B2" s="7" t="str">
        <x:v>One assertion per row. The model is ready only when every status is OK.</x:v>
      </x:c>
      <x:c r="C2" s="7" t="str">
        <x:v>One assertion per row. The model is ready only when every status is OK.</x:v>
      </x:c>
      <x:c r="D2" s="7" t="str">
        <x:v>One assertion per row. The model is ready only when every status is OK.</x:v>
      </x:c>
      <x:c r="E2" s="7" t="str">
        <x:v>One assertion per row. The model is ready only when every status is OK.</x:v>
      </x:c>
      <x:c r="F2" s="7" t="str">
        <x:v>One assertion per row. The model is ready only when every status is OK.</x:v>
      </x:c>
      <x:c r="G2" s="7" t="str">
        <x:v>One assertion per row. The model is ready only when every status is OK.</x:v>
      </x:c>
    </x:row>
    <x:row r="3">
      <x:c r="A3" s="458"/>
      <x:c r="B3" s="458"/>
      <x:c r="C3" s="458"/>
      <x:c r="D3" s="458"/>
      <x:c r="E3" s="458"/>
      <x:c r="F3" s="458"/>
      <x:c r="G3" s="458"/>
    </x:row>
    <x:row r="4">
      <x:c r="A4" s="12" t="str">
        <x:v>Check</x:v>
      </x:c>
      <x:c r="B4" s="12" t="str">
        <x:v>Actual</x:v>
      </x:c>
      <x:c r="C4" s="12" t="str">
        <x:v>Expected</x:v>
      </x:c>
      <x:c r="D4" s="12" t="str">
        <x:v>Difference</x:v>
      </x:c>
      <x:c r="E4" s="12" t="str">
        <x:v>Tolerance</x:v>
      </x:c>
      <x:c r="F4" s="12" t="str">
        <x:v>Status</x:v>
      </x:c>
      <x:c r="G4" s="12" t="str">
        <x:v>Fix hint</x:v>
      </x:c>
    </x:row>
    <x:row r="5">
      <x:c r="A5" s="23" t="str">
        <x:v>Locked weights sum</x:v>
      </x:c>
      <x:c r="B5" s="109" t="n">
        <x:f>SUM('Assumptions'!B10:B13)</x:f>
        <x:v>1</x:v>
      </x:c>
      <x:c r="C5" s="109" t="n">
        <x:v>1</x:v>
      </x:c>
      <x:c r="D5" s="109" t="n">
        <x:f>B5-C5</x:f>
        <x:v>0</x:v>
      </x:c>
      <x:c r="E5" s="109" t="n">
        <x:v>0.000001</x:v>
      </x:c>
      <x:c r="F5" s="24" t="str">
        <x:f>IF(ABS(D5)&lt;=E5,"OK","FAIL")</x:f>
        <x:v>OK</x:v>
      </x:c>
      <x:c r="G5" s="25" t="str">
        <x:v>Adjust locked weights to 100%</x:v>
      </x:c>
    </x:row>
    <x:row r="6">
      <x:c r="A6" s="26" t="str">
        <x:v>Audit month count</x:v>
      </x:c>
      <x:c r="B6" s="110" t="n">
        <x:f>'Audit Model'!Y5</x:f>
        <x:v>35</x:v>
      </x:c>
      <x:c r="C6" s="110" t="n">
        <x:v>35</x:v>
      </x:c>
      <x:c r="D6" s="110" t="n">
        <x:f>B6-C6</x:f>
        <x:v>0</x:v>
      </x:c>
      <x:c r="E6" s="110" t="n">
        <x:v>0</x:v>
      </x:c>
      <x:c r="F6" s="27" t="str">
        <x:f>IF(ABS(D6)&lt;=E6,"OK","FAIL")</x:f>
        <x:v>OK</x:v>
      </x:c>
      <x:c r="G6" s="28" t="str">
        <x:v>Check input date coverage</x:v>
      </x:c>
    </x:row>
    <x:row r="7">
      <x:c r="A7" s="26" t="str">
        <x:v>Collar premium parity</x:v>
      </x:c>
      <x:c r="B7" s="110" t="n">
        <x:f>MAX('Audit Model'!V5:V39)</x:f>
        <x:v>2.8199664825478976e-14</x:v>
      </x:c>
      <x:c r="C7" s="110" t="n">
        <x:v>0</x:v>
      </x:c>
      <x:c r="D7" s="110" t="n">
        <x:f>B7-C7</x:f>
        <x:v>2.8199664825478976e-14</x:v>
      </x:c>
      <x:c r="E7" s="110" t="n">
        <x:v>0.001</x:v>
      </x:c>
      <x:c r="F7" s="27" t="str">
        <x:f>IF(ABS(D7)&lt;=E7,"OK","FAIL")</x:f>
        <x:v>OK</x:v>
      </x:c>
      <x:c r="G7" s="28" t="str">
        <x:v>Re-solve the put strikes</x:v>
      </x:c>
    </x:row>
    <x:row r="8">
      <x:c r="A8" s="26" t="str">
        <x:v>Current premium parity</x:v>
      </x:c>
      <x:c r="B8" s="110" t="n">
        <x:f>ABS('Current Ticket'!F14)</x:f>
        <x:v>1.4210854715202004e-14</x:v>
      </x:c>
      <x:c r="C8" s="110" t="n">
        <x:v>0</x:v>
      </x:c>
      <x:c r="D8" s="110" t="n">
        <x:f>B8-C8</x:f>
        <x:v>1.4210854715202004e-14</x:v>
      </x:c>
      <x:c r="E8" s="110" t="n">
        <x:v>0.001</x:v>
      </x:c>
      <x:c r="F8" s="27" t="str">
        <x:f>IF(ABS(D8)&lt;=E8,"OK","FAIL")</x:f>
        <x:v>OK</x:v>
      </x:c>
      <x:c r="G8" s="28" t="str">
        <x:v>Goal Seek F14 to zero via B16</x:v>
      </x:c>
    </x:row>
    <x:row r="9">
      <x:c r="A9" s="26" t="str">
        <x:v>Current weights sum</x:v>
      </x:c>
      <x:c r="B9" s="110" t="n">
        <x:f>SUM('Current Ticket'!B12:B15)</x:f>
        <x:v>1</x:v>
      </x:c>
      <x:c r="C9" s="110" t="n">
        <x:v>1</x:v>
      </x:c>
      <x:c r="D9" s="110" t="n">
        <x:f>B9-C9</x:f>
        <x:v>0</x:v>
      </x:c>
      <x:c r="E9" s="110" t="n">
        <x:v>0.000001</x:v>
      </x:c>
      <x:c r="F9" s="27" t="str">
        <x:f>IF(ABS(D9)&lt;=E9,"OK","FAIL")</x:f>
        <x:v>OK</x:v>
      </x:c>
      <x:c r="G9" s="28" t="str">
        <x:v>Adjust current weights to 100%</x:v>
      </x:c>
    </x:row>
    <x:row r="10">
      <x:c r="A10" s="29" t="str">
        <x:v>Latest common observation</x:v>
      </x:c>
      <x:c r="B10" s="78" t="n">
        <x:f>'Current Ticket'!B5</x:f>
        <x:v>46230</x:v>
      </x:c>
      <x:c r="C10" s="78" t="n">
        <x:v>46230</x:v>
      </x:c>
      <x:c r="D10" s="198" t="n">
        <x:f>B10-C10</x:f>
        <x:v>0</x:v>
      </x:c>
      <x:c r="E10" s="198" t="n">
        <x:v>0</x:v>
      </x:c>
      <x:c r="F10" s="30" t="str">
        <x:f>IF(ABS(D10)&lt;=E10,"OK","FAIL")</x:f>
        <x:v>OK</x:v>
      </x:c>
      <x:c r="G10" s="31" t="str">
        <x:v>Refresh all sources to the same date</x:v>
      </x:c>
    </x:row>
    <x:row r="11">
      <x:c r="A11" s="458"/>
      <x:c r="B11" s="458"/>
      <x:c r="C11" s="458"/>
      <x:c r="D11" s="458"/>
      <x:c r="E11" s="458"/>
      <x:c r="F11" s="458"/>
      <x:c r="G11" s="458"/>
    </x:row>
    <x:row r="12">
      <x:c r="A12" s="482" t="str">
        <x:v>Overall model status</x:v>
      </x:c>
      <x:c r="B12" s="482" t="str">
        <x:v>Overall model status</x:v>
      </x:c>
      <x:c r="C12" s="482" t="str">
        <x:v>Overall model status</x:v>
      </x:c>
      <x:c r="D12" s="482" t="str">
        <x:v>Overall model status</x:v>
      </x:c>
      <x:c r="E12" s="482" t="str">
        <x:v>Overall model status</x:v>
      </x:c>
      <x:c r="F12" s="483" t="str">
        <x:f>IF(COUNTIF(F5:F10,"FAIL")=0,"OK","REVIEW")</x:f>
        <x:v>OK</x:v>
      </x:c>
      <x:c r="G12" s="483"/>
    </x:row>
  </x:sheetData>
  <x:mergeCells>
    <x:mergeCell ref="A1:G1"/>
    <x:mergeCell ref="A2:G2"/>
    <x:mergeCell ref="A12:E12"/>
    <x:mergeCell ref="F12:G12"/>
  </x:mergeCells>
  <x:conditionalFormatting sqref="F5:F10">
    <x:cfRule type="containsText" dxfId="2" priority="1" operator="containsText" text="OK"/>
    <x:cfRule type="containsText" dxfId="3" priority="2" operator="containsText" text="FAIL"/>
  </x:conditionalFormatting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33" hidden="0" customWidth="1"/>
    <x:col min="3" max="3" width="72" hidden="0" customWidth="1"/>
    <x:col min="4" max="4" width="31" hidden="0" customWidth="1"/>
    <x:col min="5" max="5" width="38" hidden="0" customWidth="1"/>
  </x:cols>
  <x:sheetData>
    <x:row r="1" ht="34" customHeight="1">
      <x:c r="A1" s="3" t="str">
        <x:v>SOURCES &amp; AUDIT TRAIL</x:v>
      </x:c>
      <x:c r="B1" s="3" t="str">
        <x:v>SOURCES &amp; AUDIT TRAIL</x:v>
      </x:c>
      <x:c r="C1" s="3" t="str">
        <x:v>SOURCES &amp; AUDIT TRAIL</x:v>
      </x:c>
      <x:c r="D1" s="3" t="str">
        <x:v>SOURCES &amp; AUDIT TRAIL</x:v>
      </x:c>
      <x:c r="E1" s="3" t="str">
        <x:v>SOURCES &amp; AUDIT TRAIL</x:v>
      </x:c>
    </x:row>
    <x:row r="2" ht="30" customHeight="1">
      <x:c r="A2" s="7" t="str">
        <x:v>Primary public inputs and the exact role each one plays in the model.</x:v>
      </x:c>
      <x:c r="B2" s="7" t="str">
        <x:v>Primary public inputs and the exact role each one plays in the model.</x:v>
      </x:c>
      <x:c r="C2" s="7" t="str">
        <x:v>Primary public inputs and the exact role each one plays in the model.</x:v>
      </x:c>
      <x:c r="D2" s="7" t="str">
        <x:v>Primary public inputs and the exact role each one plays in the model.</x:v>
      </x:c>
      <x:c r="E2" s="7" t="str">
        <x:v>Primary public inputs and the exact role each one plays in the model.</x:v>
      </x:c>
    </x:row>
    <x:row r="3">
      <x:c r="A3" s="458"/>
      <x:c r="B3" s="458"/>
      <x:c r="C3" s="458"/>
      <x:c r="D3" s="458"/>
      <x:c r="E3" s="458"/>
    </x:row>
    <x:row r="4">
      <x:c r="A4" s="12" t="str">
        <x:v>Input</x:v>
      </x:c>
      <x:c r="B4" s="12" t="str">
        <x:v>Source</x:v>
      </x:c>
      <x:c r="C4" s="12" t="str">
        <x:v>URL</x:v>
      </x:c>
      <x:c r="D4" s="12" t="str">
        <x:v>Coverage / as-of</x:v>
      </x:c>
      <x:c r="E4" s="12" t="str">
        <x:v>Use in model</x:v>
      </x:c>
    </x:row>
    <x:row r="5">
      <x:c r="A5" s="199" t="str">
        <x:v>Brent spot</x:v>
      </x:c>
      <x:c r="B5" s="200" t="str">
        <x:v>U.S. Energy Information Administration</x:v>
      </x:c>
      <x:c r="C5" s="201" t="str">
        <x:v>https://www.eia.gov/dnav/pet/hist/RBRTED.htm</x:v>
      </x:c>
      <x:c r="D5" s="200" t="str">
        <x:v>1987-2026; latest used 2026-07-27</x:v>
      </x:c>
      <x:c r="E5" s="202" t="str">
        <x:v>Synthetic futures entry and settlement</x:v>
      </x:c>
    </x:row>
    <x:row r="6">
      <x:c r="A6" s="203" t="str">
        <x:v>Jet-fuel spot</x:v>
      </x:c>
      <x:c r="B6" s="204" t="str">
        <x:v>U.S. Energy Information Administration</x:v>
      </x:c>
      <x:c r="C6" s="205" t="str">
        <x:v>https://www.eia.gov/dnav/pet/hist/EER_EPJK_PF4_RGC_DPGD.htm</x:v>
      </x:c>
      <x:c r="D6" s="204" t="str">
        <x:v>1990-2026; latest used 2026-07-27</x:v>
      </x:c>
      <x:c r="E6" s="206" t="str">
        <x:v>Airline physical fuel cost</x:v>
      </x:c>
    </x:row>
    <x:row r="7">
      <x:c r="A7" s="203" t="str">
        <x:v>OVX</x:v>
      </x:c>
      <x:c r="B7" s="204" t="str">
        <x:v>Cboe Global Indices</x:v>
      </x:c>
      <x:c r="C7" s="205" t="str">
        <x:v>https://www.cboe.com/tradable_products/vix/vix_historical_data/</x:v>
      </x:c>
      <x:c r="D7" s="204" t="str">
        <x:v>Daily; latest used 2026-07-27</x:v>
      </x:c>
      <x:c r="E7" s="206" t="str">
        <x:v>One-month option volatility proxy</x:v>
      </x:c>
    </x:row>
    <x:row r="8">
      <x:c r="A8" s="203" t="str">
        <x:v>1M Treasury</x:v>
      </x:c>
      <x:c r="B8" s="204" t="str">
        <x:v>Federal Reserve Bank of St. Louis (FRED)</x:v>
      </x:c>
      <x:c r="C8" s="205" t="str">
        <x:v>https://fred.stlouisfed.org/series/DGS1MO</x:v>
      </x:c>
      <x:c r="D8" s="204" t="str">
        <x:v>Daily; latest used 2026-07-27</x:v>
      </x:c>
      <x:c r="E8" s="206" t="str">
        <x:v>Black-76 discount rate / carry</x:v>
      </x:c>
    </x:row>
    <x:row r="9">
      <x:c r="A9" s="207" t="str">
        <x:v>Brent contract</x:v>
      </x:c>
      <x:c r="B9" s="208" t="str">
        <x:v>CME Group</x:v>
      </x:c>
      <x:c r="C9" s="209" t="str">
        <x:v>https://www.cmegroup.com/markets/energy/crude-oil/brent-crude-oil-last-day.contractSpecs.html</x:v>
      </x:c>
      <x:c r="D9" s="208" t="str">
        <x:v>Current specification</x:v>
      </x:c>
      <x:c r="E9" s="210" t="str">
        <x:v>Instrument convention and 1,000-bbl contract size</x:v>
      </x:c>
    </x:row>
  </x:sheetData>
  <x:mergeCells>
    <x:mergeCell ref="A1:E1"/>
    <x:mergeCell ref="A2:E2"/>
  </x:mergeCells>
  <x:pageMargins left="0.7" right="0.7" top="0.75" bottom="0.75" header="0.3" footer="0.3"/>
</x:worksheet>
</file>